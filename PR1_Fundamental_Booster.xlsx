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\Downloads\"/>
    </mc:Choice>
  </mc:AlternateContent>
  <bookViews>
    <workbookView xWindow="0" yWindow="0" windowWidth="19200" windowHeight="6930" firstSheet="1" activeTab="1"/>
  </bookViews>
  <sheets>
    <sheet name="Students Grade" sheetId="2" r:id="rId1"/>
    <sheet name="Sales Data" sheetId="3" r:id="rId2"/>
    <sheet name="Employee Data" sheetId="4" r:id="rId3"/>
    <sheet name="Pivot Tables" sheetId="5" r:id="rId4"/>
    <sheet name="Analysis" sheetId="6" r:id="rId5"/>
  </sheets>
  <calcPr calcId="162913"/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N21" i="4"/>
  <c r="N20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4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4" i="4"/>
  <c r="S6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5" i="2"/>
  <c r="N2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1" i="2"/>
  <c r="N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O7" i="3" l="1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3" i="3"/>
  <c r="O6" i="3"/>
  <c r="O4" i="3"/>
  <c r="O5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H3" i="3"/>
  <c r="H4" i="3"/>
  <c r="I4" i="3" s="1"/>
  <c r="J4" i="3" s="1"/>
  <c r="H5" i="3"/>
  <c r="I5" i="3" s="1"/>
  <c r="J5" i="3" s="1"/>
  <c r="H6" i="3"/>
  <c r="I6" i="3" s="1"/>
  <c r="J6" i="3" s="1"/>
  <c r="H7" i="3"/>
  <c r="I7" i="3" s="1"/>
  <c r="J7" i="3" s="1"/>
  <c r="H8" i="3"/>
  <c r="H9" i="3"/>
  <c r="H10" i="3"/>
  <c r="I10" i="3" s="1"/>
  <c r="J10" i="3" s="1"/>
  <c r="H11" i="3"/>
  <c r="I11" i="3" s="1"/>
  <c r="J11" i="3" s="1"/>
  <c r="H12" i="3"/>
  <c r="H13" i="3"/>
  <c r="H14" i="3"/>
  <c r="I14" i="3" s="1"/>
  <c r="J14" i="3" s="1"/>
  <c r="L14" i="3" s="1"/>
  <c r="H15" i="3"/>
  <c r="I15" i="3" s="1"/>
  <c r="J15" i="3" s="1"/>
  <c r="H16" i="3"/>
  <c r="H17" i="3"/>
  <c r="H18" i="3"/>
  <c r="I18" i="3" s="1"/>
  <c r="J18" i="3" s="1"/>
  <c r="H19" i="3"/>
  <c r="H20" i="3"/>
  <c r="H21" i="3"/>
  <c r="I21" i="3" s="1"/>
  <c r="J21" i="3" s="1"/>
  <c r="H2" i="3"/>
  <c r="I2" i="3"/>
  <c r="B24" i="6"/>
  <c r="B20" i="6"/>
  <c r="B19" i="6"/>
  <c r="B18" i="6"/>
  <c r="B17" i="6"/>
  <c r="B16" i="6"/>
  <c r="B12" i="6"/>
  <c r="B7" i="6"/>
  <c r="B6" i="6"/>
  <c r="B5" i="6"/>
  <c r="B4" i="6"/>
  <c r="E50" i="5"/>
  <c r="F50" i="5" s="1"/>
  <c r="D50" i="5"/>
  <c r="C50" i="5"/>
  <c r="B50" i="5"/>
  <c r="B27" i="6" s="1"/>
  <c r="E49" i="5"/>
  <c r="F49" i="5" s="1"/>
  <c r="D49" i="5"/>
  <c r="C49" i="5"/>
  <c r="B49" i="5"/>
  <c r="B26" i="6" s="1"/>
  <c r="E48" i="5"/>
  <c r="F48" i="5" s="1"/>
  <c r="D48" i="5"/>
  <c r="C48" i="5"/>
  <c r="B48" i="5"/>
  <c r="C25" i="5"/>
  <c r="B25" i="5"/>
  <c r="C24" i="5"/>
  <c r="B24" i="5"/>
  <c r="C23" i="5"/>
  <c r="B23" i="5"/>
  <c r="C22" i="5"/>
  <c r="B22" i="5"/>
  <c r="C17" i="5"/>
  <c r="B17" i="5"/>
  <c r="C16" i="5"/>
  <c r="B16" i="5"/>
  <c r="C15" i="5"/>
  <c r="B15" i="5"/>
  <c r="C14" i="5"/>
  <c r="B14" i="5"/>
  <c r="C13" i="5"/>
  <c r="B13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M21" i="4"/>
  <c r="L21" i="4"/>
  <c r="I21" i="4"/>
  <c r="H21" i="4"/>
  <c r="M20" i="4"/>
  <c r="L20" i="4"/>
  <c r="I20" i="4"/>
  <c r="H20" i="4"/>
  <c r="M19" i="4"/>
  <c r="L19" i="4"/>
  <c r="I19" i="4"/>
  <c r="H19" i="4"/>
  <c r="M18" i="4"/>
  <c r="L18" i="4"/>
  <c r="I18" i="4"/>
  <c r="H18" i="4"/>
  <c r="M17" i="4"/>
  <c r="L17" i="4"/>
  <c r="I17" i="4"/>
  <c r="H17" i="4"/>
  <c r="M16" i="4"/>
  <c r="L16" i="4"/>
  <c r="I16" i="4"/>
  <c r="H16" i="4"/>
  <c r="M15" i="4"/>
  <c r="L15" i="4"/>
  <c r="I15" i="4"/>
  <c r="H15" i="4"/>
  <c r="M14" i="4"/>
  <c r="L14" i="4"/>
  <c r="I14" i="4"/>
  <c r="H14" i="4"/>
  <c r="M13" i="4"/>
  <c r="L13" i="4"/>
  <c r="I13" i="4"/>
  <c r="H13" i="4"/>
  <c r="M12" i="4"/>
  <c r="L12" i="4"/>
  <c r="I12" i="4"/>
  <c r="H12" i="4"/>
  <c r="M11" i="4"/>
  <c r="L11" i="4"/>
  <c r="I11" i="4"/>
  <c r="H11" i="4"/>
  <c r="M10" i="4"/>
  <c r="L10" i="4"/>
  <c r="I10" i="4"/>
  <c r="H10" i="4"/>
  <c r="M9" i="4"/>
  <c r="L9" i="4"/>
  <c r="I9" i="4"/>
  <c r="H9" i="4"/>
  <c r="M8" i="4"/>
  <c r="L8" i="4"/>
  <c r="C33" i="5"/>
  <c r="I8" i="4"/>
  <c r="H8" i="4"/>
  <c r="M7" i="4"/>
  <c r="L7" i="4"/>
  <c r="I7" i="4"/>
  <c r="H7" i="4"/>
  <c r="M6" i="4"/>
  <c r="L6" i="4"/>
  <c r="I6" i="4"/>
  <c r="H6" i="4"/>
  <c r="M5" i="4"/>
  <c r="L5" i="4"/>
  <c r="I5" i="4"/>
  <c r="H5" i="4"/>
  <c r="M4" i="4"/>
  <c r="L4" i="4"/>
  <c r="C31" i="5"/>
  <c r="I4" i="4"/>
  <c r="H4" i="4"/>
  <c r="M3" i="4"/>
  <c r="L3" i="4"/>
  <c r="I3" i="4"/>
  <c r="H3" i="4"/>
  <c r="M2" i="4"/>
  <c r="L2" i="4"/>
  <c r="D30" i="5"/>
  <c r="I2" i="4"/>
  <c r="H2" i="4"/>
  <c r="P21" i="3"/>
  <c r="G21" i="3"/>
  <c r="P20" i="3"/>
  <c r="I20" i="3"/>
  <c r="J20" i="3" s="1"/>
  <c r="G20" i="3"/>
  <c r="P19" i="3"/>
  <c r="I19" i="3"/>
  <c r="J19" i="3" s="1"/>
  <c r="G19" i="3"/>
  <c r="P18" i="3"/>
  <c r="G18" i="3"/>
  <c r="P17" i="3"/>
  <c r="I17" i="3"/>
  <c r="J17" i="3" s="1"/>
  <c r="N17" i="3" s="1"/>
  <c r="G17" i="3"/>
  <c r="P16" i="3"/>
  <c r="I16" i="3"/>
  <c r="J16" i="3" s="1"/>
  <c r="G16" i="3"/>
  <c r="P15" i="3"/>
  <c r="G15" i="3"/>
  <c r="P14" i="3"/>
  <c r="G14" i="3"/>
  <c r="P13" i="3"/>
  <c r="I13" i="3"/>
  <c r="J13" i="3" s="1"/>
  <c r="G13" i="3"/>
  <c r="P12" i="3"/>
  <c r="I12" i="3"/>
  <c r="J12" i="3" s="1"/>
  <c r="N12" i="3" s="1"/>
  <c r="G12" i="3"/>
  <c r="P11" i="3"/>
  <c r="G11" i="3"/>
  <c r="P10" i="3"/>
  <c r="G10" i="3"/>
  <c r="P9" i="3"/>
  <c r="I9" i="3"/>
  <c r="J9" i="3" s="1"/>
  <c r="G9" i="3"/>
  <c r="P8" i="3"/>
  <c r="I8" i="3"/>
  <c r="J8" i="3" s="1"/>
  <c r="G8" i="3"/>
  <c r="P7" i="3"/>
  <c r="G7" i="3"/>
  <c r="P6" i="3"/>
  <c r="G6" i="3"/>
  <c r="P5" i="3"/>
  <c r="G5" i="3"/>
  <c r="P4" i="3"/>
  <c r="G4" i="3"/>
  <c r="P3" i="3"/>
  <c r="I3" i="3"/>
  <c r="J3" i="3" s="1"/>
  <c r="G3" i="3"/>
  <c r="G2" i="3"/>
  <c r="R21" i="2"/>
  <c r="Q21" i="2"/>
  <c r="M21" i="2"/>
  <c r="L21" i="2"/>
  <c r="K21" i="2"/>
  <c r="H21" i="2"/>
  <c r="P21" i="2" s="1"/>
  <c r="G21" i="2"/>
  <c r="P20" i="2"/>
  <c r="M20" i="2"/>
  <c r="L20" i="2"/>
  <c r="K20" i="2"/>
  <c r="H20" i="2"/>
  <c r="R20" i="2" s="1"/>
  <c r="G20" i="2"/>
  <c r="R19" i="2"/>
  <c r="Q19" i="2"/>
  <c r="M19" i="2"/>
  <c r="L19" i="2"/>
  <c r="K19" i="2"/>
  <c r="H19" i="2"/>
  <c r="P19" i="2" s="1"/>
  <c r="G19" i="2"/>
  <c r="P18" i="2"/>
  <c r="M18" i="2"/>
  <c r="L18" i="2"/>
  <c r="K18" i="2"/>
  <c r="H18" i="2"/>
  <c r="G18" i="2"/>
  <c r="M17" i="2"/>
  <c r="L17" i="2"/>
  <c r="K17" i="2"/>
  <c r="H17" i="2"/>
  <c r="R17" i="2" s="1"/>
  <c r="G17" i="2"/>
  <c r="R16" i="2"/>
  <c r="P16" i="2"/>
  <c r="M16" i="2"/>
  <c r="L16" i="2"/>
  <c r="K16" i="2"/>
  <c r="H16" i="2"/>
  <c r="G16" i="2"/>
  <c r="S15" i="2"/>
  <c r="R15" i="2"/>
  <c r="Q15" i="2"/>
  <c r="M15" i="2"/>
  <c r="L15" i="2"/>
  <c r="K15" i="2"/>
  <c r="H15" i="2"/>
  <c r="P15" i="2" s="1"/>
  <c r="G15" i="2"/>
  <c r="P14" i="2"/>
  <c r="M14" i="2"/>
  <c r="L14" i="2"/>
  <c r="K14" i="2"/>
  <c r="H14" i="2"/>
  <c r="R14" i="2" s="1"/>
  <c r="G14" i="2"/>
  <c r="R13" i="2"/>
  <c r="P13" i="2"/>
  <c r="M13" i="2"/>
  <c r="L13" i="2"/>
  <c r="K13" i="2"/>
  <c r="H13" i="2"/>
  <c r="G13" i="2"/>
  <c r="R12" i="2"/>
  <c r="Q12" i="2"/>
  <c r="M12" i="2"/>
  <c r="L12" i="2"/>
  <c r="K12" i="2"/>
  <c r="H12" i="2"/>
  <c r="P12" i="2" s="1"/>
  <c r="G12" i="2"/>
  <c r="M11" i="2"/>
  <c r="L11" i="2"/>
  <c r="K11" i="2"/>
  <c r="H11" i="2"/>
  <c r="G11" i="2"/>
  <c r="M10" i="2"/>
  <c r="L10" i="2"/>
  <c r="K10" i="2"/>
  <c r="H10" i="2"/>
  <c r="R10" i="2" s="1"/>
  <c r="G10" i="2"/>
  <c r="P9" i="2"/>
  <c r="M9" i="2"/>
  <c r="L9" i="2"/>
  <c r="K9" i="2"/>
  <c r="H9" i="2"/>
  <c r="S9" i="2" s="1"/>
  <c r="G9" i="2"/>
  <c r="R8" i="2"/>
  <c r="Q8" i="2"/>
  <c r="M8" i="2"/>
  <c r="L8" i="2"/>
  <c r="K8" i="2"/>
  <c r="H8" i="2"/>
  <c r="P8" i="2" s="1"/>
  <c r="G8" i="2"/>
  <c r="P7" i="2"/>
  <c r="M7" i="2"/>
  <c r="L7" i="2"/>
  <c r="K7" i="2"/>
  <c r="H7" i="2"/>
  <c r="R7" i="2" s="1"/>
  <c r="G7" i="2"/>
  <c r="M6" i="2"/>
  <c r="L6" i="2"/>
  <c r="K6" i="2"/>
  <c r="H6" i="2"/>
  <c r="R6" i="2" s="1"/>
  <c r="G6" i="2"/>
  <c r="R5" i="2"/>
  <c r="M5" i="2"/>
  <c r="L5" i="2"/>
  <c r="K5" i="2"/>
  <c r="H5" i="2"/>
  <c r="G5" i="2"/>
  <c r="S4" i="2"/>
  <c r="R4" i="2"/>
  <c r="Q4" i="2"/>
  <c r="M4" i="2"/>
  <c r="L4" i="2"/>
  <c r="K4" i="2"/>
  <c r="H4" i="2"/>
  <c r="P4" i="2" s="1"/>
  <c r="G4" i="2"/>
  <c r="M3" i="2"/>
  <c r="L3" i="2"/>
  <c r="K3" i="2"/>
  <c r="H3" i="2"/>
  <c r="S19" i="2" s="1"/>
  <c r="G3" i="2"/>
  <c r="P2" i="2"/>
  <c r="M2" i="2"/>
  <c r="L2" i="2"/>
  <c r="K2" i="2"/>
  <c r="H2" i="2"/>
  <c r="G2" i="2"/>
  <c r="D22" i="5" l="1"/>
  <c r="B9" i="5"/>
  <c r="D24" i="5"/>
  <c r="B28" i="6"/>
  <c r="G5" i="5"/>
  <c r="D9" i="5"/>
  <c r="E9" i="5"/>
  <c r="F9" i="5"/>
  <c r="B18" i="5"/>
  <c r="G6" i="5"/>
  <c r="B26" i="5"/>
  <c r="D16" i="5"/>
  <c r="G7" i="5"/>
  <c r="G8" i="5"/>
  <c r="D14" i="5"/>
  <c r="B10" i="6"/>
  <c r="L10" i="3"/>
  <c r="N10" i="3"/>
  <c r="M10" i="3"/>
  <c r="L12" i="3"/>
  <c r="M12" i="3"/>
  <c r="O2" i="2"/>
  <c r="O3" i="2"/>
  <c r="O4" i="2"/>
  <c r="M3" i="3"/>
  <c r="N3" i="3"/>
  <c r="L3" i="3"/>
  <c r="N18" i="3"/>
  <c r="L18" i="3"/>
  <c r="M18" i="3"/>
  <c r="M7" i="3"/>
  <c r="L7" i="3"/>
  <c r="N7" i="3"/>
  <c r="N21" i="3"/>
  <c r="M21" i="3"/>
  <c r="L21" i="3"/>
  <c r="M5" i="3"/>
  <c r="L5" i="3"/>
  <c r="N5" i="3"/>
  <c r="M15" i="3"/>
  <c r="N15" i="3"/>
  <c r="L15" i="3"/>
  <c r="N9" i="3"/>
  <c r="M9" i="3"/>
  <c r="L9" i="3"/>
  <c r="N8" i="3"/>
  <c r="M8" i="3"/>
  <c r="L8" i="3"/>
  <c r="M11" i="3"/>
  <c r="L11" i="3"/>
  <c r="N11" i="3"/>
  <c r="N6" i="3"/>
  <c r="M6" i="3"/>
  <c r="L6" i="3"/>
  <c r="N4" i="3"/>
  <c r="M4" i="3"/>
  <c r="L4" i="3"/>
  <c r="N13" i="3"/>
  <c r="M13" i="3"/>
  <c r="L13" i="3"/>
  <c r="M19" i="3"/>
  <c r="L19" i="3"/>
  <c r="N19" i="3"/>
  <c r="S8" i="2"/>
  <c r="Q11" i="2"/>
  <c r="S18" i="2"/>
  <c r="S20" i="2"/>
  <c r="P3" i="2"/>
  <c r="S5" i="2"/>
  <c r="Q5" i="2"/>
  <c r="Q10" i="2"/>
  <c r="S12" i="2"/>
  <c r="Q17" i="2"/>
  <c r="J2" i="3"/>
  <c r="B8" i="6"/>
  <c r="B13" i="6"/>
  <c r="F20" i="4"/>
  <c r="G2" i="4"/>
  <c r="O2" i="4" s="1"/>
  <c r="N2" i="4"/>
  <c r="F2" i="4"/>
  <c r="F21" i="4"/>
  <c r="G3" i="4"/>
  <c r="O3" i="4" s="1"/>
  <c r="Q3" i="2"/>
  <c r="R3" i="2"/>
  <c r="S10" i="2"/>
  <c r="S17" i="2"/>
  <c r="S21" i="2"/>
  <c r="S3" i="2"/>
  <c r="P6" i="2"/>
  <c r="P11" i="2"/>
  <c r="S13" i="2"/>
  <c r="Q13" i="2"/>
  <c r="Q18" i="2"/>
  <c r="R18" i="2"/>
  <c r="Q20" i="2"/>
  <c r="M14" i="3"/>
  <c r="N16" i="3"/>
  <c r="M16" i="3"/>
  <c r="L16" i="3"/>
  <c r="L17" i="3"/>
  <c r="D32" i="5"/>
  <c r="Q6" i="2"/>
  <c r="R11" i="2"/>
  <c r="S11" i="2"/>
  <c r="S16" i="2"/>
  <c r="Q16" i="2"/>
  <c r="N14" i="3"/>
  <c r="M17" i="3"/>
  <c r="N20" i="3"/>
  <c r="L20" i="3"/>
  <c r="N3" i="4"/>
  <c r="Q9" i="2"/>
  <c r="Q14" i="2"/>
  <c r="B30" i="6"/>
  <c r="R2" i="2"/>
  <c r="B29" i="6"/>
  <c r="Q2" i="2"/>
  <c r="F3" i="4"/>
  <c r="Q7" i="2"/>
  <c r="R9" i="2"/>
  <c r="S14" i="2"/>
  <c r="S2" i="2"/>
  <c r="P5" i="2"/>
  <c r="S7" i="2"/>
  <c r="P10" i="2"/>
  <c r="P17" i="2"/>
  <c r="M20" i="3"/>
  <c r="D31" i="5"/>
  <c r="D33" i="5"/>
  <c r="B11" i="6"/>
  <c r="C9" i="5"/>
  <c r="D13" i="5"/>
  <c r="C18" i="5"/>
  <c r="E14" i="5" s="1"/>
  <c r="B21" i="6"/>
  <c r="B30" i="5"/>
  <c r="B32" i="5"/>
  <c r="D15" i="5"/>
  <c r="D23" i="5"/>
  <c r="D25" i="5"/>
  <c r="C30" i="5"/>
  <c r="C32" i="5"/>
  <c r="B25" i="6"/>
  <c r="D17" i="5"/>
  <c r="C26" i="5"/>
  <c r="E23" i="5" s="1"/>
  <c r="B31" i="5"/>
  <c r="B33" i="5"/>
  <c r="G9" i="5" l="1"/>
  <c r="E31" i="5"/>
  <c r="C34" i="5"/>
  <c r="D34" i="5"/>
  <c r="D26" i="5"/>
  <c r="E32" i="5"/>
  <c r="E22" i="5"/>
  <c r="E33" i="5"/>
  <c r="E13" i="5"/>
  <c r="B9" i="6"/>
  <c r="N2" i="3"/>
  <c r="M2" i="3"/>
  <c r="B42" i="5"/>
  <c r="B38" i="5"/>
  <c r="B41" i="5"/>
  <c r="B40" i="5"/>
  <c r="B39" i="5"/>
  <c r="E24" i="5"/>
  <c r="E30" i="5"/>
  <c r="B34" i="5"/>
  <c r="D18" i="5"/>
  <c r="E16" i="5"/>
  <c r="E17" i="5"/>
  <c r="E15" i="5"/>
  <c r="E25" i="5"/>
  <c r="B43" i="5" l="1"/>
  <c r="C38" i="5" s="1"/>
  <c r="E26" i="5"/>
  <c r="E18" i="5"/>
  <c r="E34" i="5"/>
  <c r="C40" i="5"/>
  <c r="C42" i="5" l="1"/>
  <c r="C41" i="5"/>
  <c r="C39" i="5"/>
  <c r="C43" i="5" s="1"/>
</calcChain>
</file>

<file path=xl/sharedStrings.xml><?xml version="1.0" encoding="utf-8"?>
<sst xmlns="http://schemas.openxmlformats.org/spreadsheetml/2006/main" count="266" uniqueCount="176">
  <si>
    <t>Student ID</t>
  </si>
  <si>
    <t>Name</t>
  </si>
  <si>
    <t>Math</t>
  </si>
  <si>
    <t>Science</t>
  </si>
  <si>
    <t>English</t>
  </si>
  <si>
    <t>Enrollment Date</t>
  </si>
  <si>
    <t>Total</t>
  </si>
  <si>
    <t>Average</t>
  </si>
  <si>
    <t>Grade (Nested IF)</t>
  </si>
  <si>
    <t>Math &amp; Science &gt; 80?</t>
  </si>
  <si>
    <t>First Name</t>
  </si>
  <si>
    <t>Name UPPER</t>
  </si>
  <si>
    <t>Name lower</t>
  </si>
  <si>
    <t>Years Since Enrollment</t>
  </si>
  <si>
    <t>Days Since Enrollment</t>
  </si>
  <si>
    <t>Avg (ROUND)</t>
  </si>
  <si>
    <t>Avg (CEILING 5)</t>
  </si>
  <si>
    <t>Avg (FLOOR 5)</t>
  </si>
  <si>
    <t>Rank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</si>
  <si>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</si>
  <si>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</si>
  <si>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</si>
  <si>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</si>
  <si>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</si>
  <si>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</si>
  <si>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</si>
  <si>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</si>
  <si>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</si>
  <si>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</si>
  <si>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</si>
  <si>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</si>
  <si>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</si>
  <si>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</si>
  <si>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</si>
  <si>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</si>
  <si>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</si>
  <si>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</si>
  <si>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</si>
  <si>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</si>
  <si>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Grade</t>
  </si>
  <si>
    <t>A</t>
  </si>
  <si>
    <t>B</t>
  </si>
  <si>
    <t>C</t>
  </si>
  <si>
    <t>D</t>
  </si>
  <si>
    <t>F</t>
  </si>
  <si>
    <t>Sales ID</t>
  </si>
  <si>
    <t>Product</t>
  </si>
  <si>
    <t>Region</t>
  </si>
  <si>
    <t>Salesperson</t>
  </si>
  <si>
    <t>Amount</t>
  </si>
  <si>
    <t>Date</t>
  </si>
  <si>
    <t>Month</t>
  </si>
  <si>
    <t>Discount %</t>
  </si>
  <si>
    <t>Discount Amount</t>
  </si>
  <si>
    <t>Net Amount</t>
  </si>
  <si>
    <t>Discount Eligible?</t>
  </si>
  <si>
    <t>Net (ROUND 100)</t>
  </si>
  <si>
    <t>Net (CEILING 1000)</t>
  </si>
  <si>
    <t>Net (FLOOR 1000)</t>
  </si>
  <si>
    <t>Rolling 3-Sale Avg (OFFSET)</t>
  </si>
  <si>
    <t>Days Since Prev Sale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</si>
  <si>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</si>
  <si>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</si>
  <si>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</si>
  <si>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</si>
  <si>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</si>
  <si>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</si>
  <si>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</si>
  <si>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</si>
  <si>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</si>
  <si>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</si>
  <si>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</si>
  <si>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</si>
  <si>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</si>
  <si>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</si>
  <si>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</si>
  <si>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</si>
  <si>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</si>
  <si>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</si>
  <si>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</si>
  <si>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</si>
  <si>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</si>
  <si>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</si>
  <si>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</si>
  <si>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</si>
  <si>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</si>
  <si>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</si>
  <si>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</si>
  <si>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</si>
  <si>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</si>
  <si>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</si>
  <si>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</si>
  <si>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</si>
  <si>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</si>
  <si>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Status</t>
  </si>
  <si>
    <t>Tenure (Years)</t>
  </si>
  <si>
    <t>Joining Date (Long)</t>
  </si>
  <si>
    <t>Joining Weekday</t>
  </si>
  <si>
    <t>Salary Band (Nested IF)</t>
  </si>
  <si>
    <t>Bonus</t>
  </si>
  <si>
    <t>Bonus (ROUND 100)</t>
  </si>
  <si>
    <t>Days Since Joining</t>
  </si>
  <si>
    <t>Senior Track? (AND/OR)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</si>
  <si>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</si>
  <si>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</si>
  <si>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</si>
  <si>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</si>
  <si>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</si>
  <si>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</si>
  <si>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</si>
  <si>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</si>
  <si>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</si>
  <si>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</si>
  <si>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</si>
  <si>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</si>
  <si>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</si>
  <si>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</si>
  <si>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</si>
  <si>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</si>
  <si>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</si>
  <si>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</si>
  <si>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</si>
  <si>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</si>
  <si>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</si>
  <si>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</si>
  <si>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</si>
  <si>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</si>
  <si>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High</t>
  </si>
  <si>
    <t>Mid</t>
  </si>
  <si>
    <t>Entry</t>
  </si>
  <si>
    <t>Headcount</t>
  </si>
  <si>
    <t>Average salary</t>
  </si>
  <si>
    <t>Highest salary</t>
  </si>
  <si>
    <t>Total payroll</t>
  </si>
  <si>
    <t>Pivot Tables (formula-driven – update automatically with the data sheets)</t>
  </si>
  <si>
    <t>Pivot 1 – Total Sales by Region × Product</t>
  </si>
  <si>
    <t>Grand Total</t>
  </si>
  <si>
    <t>No. of Sales</t>
  </si>
  <si>
    <t>Total Sales</t>
  </si>
  <si>
    <t>Average Sale</t>
  </si>
  <si>
    <t>% of Total</t>
  </si>
  <si>
    <t>Students</t>
  </si>
  <si>
    <t>% of Students</t>
  </si>
  <si>
    <t>Subject</t>
  </si>
  <si>
    <t>Highest</t>
  </si>
  <si>
    <t>Lowest</t>
  </si>
  <si>
    <t>Students ≥ Pass Mark</t>
  </si>
  <si>
    <t>Pass %</t>
  </si>
  <si>
    <t>Analysis – Sales, Employees &amp; Students</t>
  </si>
  <si>
    <t>Sales</t>
  </si>
  <si>
    <t>Total sales</t>
  </si>
  <si>
    <t>Number of sales</t>
  </si>
  <si>
    <t>Average sale</t>
  </si>
  <si>
    <t>Largest sale</t>
  </si>
  <si>
    <t>Total discount given</t>
  </si>
  <si>
    <t>Net revenue after discount</t>
  </si>
  <si>
    <t>Top region</t>
  </si>
  <si>
    <t>Top product</t>
  </si>
  <si>
    <t>Top salesperson (largest sale)</t>
  </si>
  <si>
    <t>Sales eligible for discount</t>
  </si>
  <si>
    <t>Employees</t>
  </si>
  <si>
    <t>Highest-paid employee</t>
  </si>
  <si>
    <t>Employees in High band</t>
  </si>
  <si>
    <t>Number of students</t>
  </si>
  <si>
    <t>Average Math</t>
  </si>
  <si>
    <t>Average Science</t>
  </si>
  <si>
    <t>Average English</t>
  </si>
  <si>
    <t>Strongest subject</t>
  </si>
  <si>
    <t>Top student</t>
  </si>
  <si>
    <t>Top student average</t>
  </si>
  <si>
    <t>Pivot 2 – Product Summary</t>
  </si>
  <si>
    <t>Pivot 3 – Region Summary</t>
  </si>
  <si>
    <t>Pivot 4 – Department × Salary Band (headcount)</t>
  </si>
  <si>
    <t>Pivot 5 – Student Grade Distribution</t>
  </si>
  <si>
    <t>Pivot 6 – Subject Performance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</si>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</sst>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-mmm\-yyyy"/>
    <numFmt numFmtId="165" formatCode="\₹#,##0"/>
    <numFmt numFmtId="166" formatCode="0.0"/>
    <numFmt numFmtId="167" formatCode="0.0%"/>
    <numFmt numFmtId="168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6" borderId="1" xfId="0" applyFont="1" applyFill="1" applyBorder="1"/>
    <xf numFmtId="3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/>
    <xf numFmtId="168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0" fontId="6" fillId="7" borderId="0" xfId="0" applyFont="1" applyFill="1"/>
    <xf numFmtId="0" fontId="5" fillId="7" borderId="0" xfId="0" applyFont="1" applyFill="1"/>
    <xf numFmtId="0" fontId="3" fillId="5" borderId="1" xfId="0" applyFont="1" applyFill="1" applyBorder="1"/>
    <xf numFmtId="0" fontId="7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latin typeface="Arial"/>
              </a:defRPr>
            </a:pPr>
            <a:r>
              <a:rPr lang="en-US" sz="1100" b="1" baseline="0">
                <a:latin typeface="Arial"/>
              </a:rPr>
              <a:t>Total 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</c:spPr>
          <c:invertIfNegative val="0"/>
          <c:cat>
            <c:strRef>
              <c:f>'Pivot Tables'!$A$22:$A$25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Tables'!$C$22:$C$25</c:f>
              <c:numCache>
                <c:formatCode>\₹#,##0</c:formatCode>
                <c:ptCount val="4"/>
                <c:pt idx="0">
                  <c:v>173932</c:v>
                </c:pt>
                <c:pt idx="1">
                  <c:v>140627</c:v>
                </c:pt>
                <c:pt idx="2">
                  <c:v>73188</c:v>
                </c:pt>
                <c:pt idx="3">
                  <c:v>119978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A-4967-A4D3-8741D4B12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\₹#,##0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latin typeface="Arial"/>
              </a:defRPr>
            </a:pPr>
            <a:r>
              <a:rPr lang="en-US" sz="1100" b="1" baseline="0">
                <a:latin typeface="Arial"/>
              </a:rPr>
              <a:t>Total Sales by Product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</c:spPr>
          <c:invertIfNegative val="0"/>
          <c:cat>
            <c:strRef>
              <c:f>'Pivot Tables'!$A$13:$A$17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'Pivot Tables'!$C$13:$C$17</c:f>
              <c:numCache>
                <c:formatCode>\₹#,##0</c:formatCode>
                <c:ptCount val="5"/>
                <c:pt idx="0">
                  <c:v>165970</c:v>
                </c:pt>
                <c:pt idx="1">
                  <c:v>38521</c:v>
                </c:pt>
                <c:pt idx="2">
                  <c:v>115643</c:v>
                </c:pt>
                <c:pt idx="3">
                  <c:v>111200</c:v>
                </c:pt>
                <c:pt idx="4">
                  <c:v>76391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B-47CB-BD00-06EAB51C7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\₹#,##0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majorGridlines/>
        <c:numFmt formatCode="\₹#,##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latin typeface="Arial"/>
              </a:defRPr>
            </a:pPr>
            <a:r>
              <a:rPr lang="en-US" sz="1100" b="1" baseline="0">
                <a:latin typeface="Arial"/>
              </a:rPr>
              <a:t>Student Grade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E75B6"/>
              </a:solidFill>
            </c:spPr>
            <c:extLst>
              <c:ext xmlns:c16="http://schemas.microsoft.com/office/drawing/2014/chart" uri="{C3380CC4-5D6E-409C-BE32-E72D297353CC}">
                <c16:uniqueId val="{00000000-DB3C-40C7-932D-48BBEB79AFD0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1-DB3C-40C7-932D-48BBEB79AFD0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2-DB3C-40C7-932D-48BBEB79AFD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DB3C-40C7-932D-48BBEB79AFD0}"/>
              </c:ext>
            </c:extLst>
          </c:dPt>
          <c:dPt>
            <c:idx val="4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4-DB3C-40C7-932D-48BBEB79AF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Tables'!$A$38:$A$42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'Pivot Tables'!$B$38:$B$42</c:f>
              <c:numCache>
                <c:formatCode>0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3C-40C7-932D-48BBEB79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latin typeface="Arial"/>
              </a:defRPr>
            </a:pPr>
            <a:r>
              <a:rPr lang="en-US" sz="1100" b="1" baseline="0">
                <a:latin typeface="Arial"/>
              </a:rPr>
              <a:t>Average Score by Subject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</c:spPr>
          <c:invertIfNegative val="0"/>
          <c:cat>
            <c:strRef>
              <c:f>'Pivot Tables'!$A$48:$A$50</c:f>
              <c:strCache>
                <c:ptCount val="3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</c:strCache>
            </c:strRef>
          </c:cat>
          <c:val>
            <c:numRef>
              <c:f>'Pivot Tables'!$B$48:$B$50</c:f>
              <c:numCache>
                <c:formatCode>0.0</c:formatCode>
                <c:ptCount val="3"/>
                <c:pt idx="0">
                  <c:v>80.2</c:v>
                </c:pt>
                <c:pt idx="1">
                  <c:v>66.45</c:v>
                </c:pt>
                <c:pt idx="2">
                  <c:v>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0-432C-AE54-27E661A7D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Tables'!$B$21</c:f>
              <c:strCache>
                <c:ptCount val="1"/>
                <c:pt idx="0">
                  <c:v>No.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Tables'!$A$22:$A$26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'Pivot Tables'!$B$22:$B$26</c:f>
              <c:numCache>
                <c:formatCode>0</c:formatCode>
                <c:ptCount val="5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C-41F3-BB0F-D0E212010B20}"/>
            </c:ext>
          </c:extLst>
        </c:ser>
        <c:ser>
          <c:idx val="1"/>
          <c:order val="1"/>
          <c:tx>
            <c:strRef>
              <c:f>'Pivot Tables'!$C$21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Tables'!$A$22:$A$26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'Pivot Tables'!$C$22:$C$26</c:f>
              <c:numCache>
                <c:formatCode>\₹#,##0</c:formatCode>
                <c:ptCount val="5"/>
                <c:pt idx="0">
                  <c:v>173932</c:v>
                </c:pt>
                <c:pt idx="1">
                  <c:v>140627</c:v>
                </c:pt>
                <c:pt idx="2">
                  <c:v>73188</c:v>
                </c:pt>
                <c:pt idx="3">
                  <c:v>119978</c:v>
                </c:pt>
                <c:pt idx="4">
                  <c:v>507725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7C-41F3-BB0F-D0E212010B20}"/>
            </c:ext>
          </c:extLst>
        </c:ser>
        <c:ser>
          <c:idx val="2"/>
          <c:order val="2"/>
          <c:tx>
            <c:strRef>
              <c:f>'Pivot Tables'!$D$21</c:f>
              <c:strCache>
                <c:ptCount val="1"/>
                <c:pt idx="0">
                  <c:v>Average Sale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Tables'!$A$22:$A$26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'Pivot Tables'!$D$22:$D$26</c:f>
              <c:numCache>
                <c:formatCode>\₹#,##0</c:formatCode>
                <c:ptCount val="5"/>
                <c:pt idx="0">
                  <c:v>21741.5</c:v>
                </c:pt>
                <c:pt idx="1">
                  <c:v>35156.75</c:v>
                </c:pt>
                <c:pt idx="2">
                  <c:v>18297</c:v>
                </c:pt>
                <c:pt idx="3">
                  <c:v>29994.5</c:v>
                </c:pt>
                <c:pt idx="4">
                  <c:v>25386.25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7C-41F3-BB0F-D0E212010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3738719"/>
        <c:axId val="293747039"/>
      </c:barChart>
      <c:lineChart>
        <c:grouping val="standard"/>
        <c:varyColors val="0"/>
        <c:ser>
          <c:idx val="3"/>
          <c:order val="3"/>
          <c:tx>
            <c:strRef>
              <c:f>'Pivot Tables'!$E$21</c:f>
              <c:strCache>
                <c:ptCount val="1"/>
                <c:pt idx="0">
                  <c:v>% of 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Tables'!$A$22:$A$26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'Pivot Tables'!$E$22:$E$26</c:f>
              <c:numCache>
                <c:formatCode>0.0%</c:formatCode>
                <c:ptCount val="5"/>
                <c:pt idx="0">
                  <c:v>0.34257127381948888</c:v>
                </c:pt>
                <c:pt idx="1">
                  <c:v>0.27697474026293761</c:v>
                </c:pt>
                <c:pt idx="2">
                  <c:v>0.14414889950268353</c:v>
                </c:pt>
                <c:pt idx="3">
                  <c:v>0.23630508641488995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7C-41F3-BB0F-D0E212010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747455"/>
        <c:axId val="293751615"/>
      </c:lineChart>
      <c:catAx>
        <c:axId val="29373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47039"/>
        <c:crosses val="autoZero"/>
        <c:auto val="1"/>
        <c:lblAlgn val="ctr"/>
        <c:lblOffset val="100"/>
        <c:noMultiLvlLbl val="0"/>
      </c:catAx>
      <c:valAx>
        <c:axId val="29374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38719"/>
        <c:crosses val="autoZero"/>
        <c:crossBetween val="between"/>
      </c:valAx>
      <c:valAx>
        <c:axId val="293751615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47455"/>
        <c:crosses val="max"/>
        <c:crossBetween val="between"/>
      </c:valAx>
      <c:catAx>
        <c:axId val="2937474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37516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  <a:r>
              <a:rPr lang="en-IN" baseline="0"/>
              <a:t> By Salary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Tables'!$A$30:$A$34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Grand Total</c:v>
                </c:pt>
              </c:strCache>
            </c:strRef>
          </c:cat>
          <c:val>
            <c:numRef>
              <c:f>'Pivot Tables'!$B$30:$B$34</c:f>
              <c:numCache>
                <c:formatCode>0</c:formatCode>
                <c:ptCount val="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4-4F0D-8090-5BFDAE8A5604}"/>
            </c:ext>
          </c:extLst>
        </c:ser>
        <c:ser>
          <c:idx val="1"/>
          <c:order val="1"/>
          <c:tx>
            <c:strRef>
              <c:f>'Pivot Tables'!$C$29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Tables'!$A$30:$A$34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Grand Total</c:v>
                </c:pt>
              </c:strCache>
            </c:strRef>
          </c:cat>
          <c:val>
            <c:numRef>
              <c:f>'Pivot Tables'!$C$30:$C$34</c:f>
              <c:numCache>
                <c:formatCode>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4-4F0D-8090-5BFDAE8A5604}"/>
            </c:ext>
          </c:extLst>
        </c:ser>
        <c:ser>
          <c:idx val="2"/>
          <c:order val="2"/>
          <c:tx>
            <c:strRef>
              <c:f>'Pivot Tables'!$D$29</c:f>
              <c:strCache>
                <c:ptCount val="1"/>
                <c:pt idx="0">
                  <c:v>Entry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Tables'!$A$30:$A$34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Grand Total</c:v>
                </c:pt>
              </c:strCache>
            </c:strRef>
          </c:cat>
          <c:val>
            <c:numRef>
              <c:f>'Pivot Tables'!$D$30:$D$34</c:f>
              <c:numCache>
                <c:formatCode>0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44-4F0D-8090-5BFDAE8A5604}"/>
            </c:ext>
          </c:extLst>
        </c:ser>
        <c:ser>
          <c:idx val="3"/>
          <c:order val="3"/>
          <c:tx>
            <c:strRef>
              <c:f>'Pivot Tables'!$E$29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Tables'!$A$30:$A$34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Grand Total</c:v>
                </c:pt>
              </c:strCache>
            </c:strRef>
          </c:cat>
          <c:val>
            <c:numRef>
              <c:f>'Pivot Tables'!$E$30:$E$34</c:f>
              <c:numCache>
                <c:formatCode>0</c:formatCode>
                <c:ptCount val="5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44-4F0D-8090-5BFDAE8A5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97439"/>
        <c:axId val="148597855"/>
      </c:barChart>
      <c:catAx>
        <c:axId val="14859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7855"/>
        <c:crosses val="autoZero"/>
        <c:auto val="1"/>
        <c:lblAlgn val="ctr"/>
        <c:lblOffset val="100"/>
        <c:noMultiLvlLbl val="0"/>
      </c:catAx>
      <c:valAx>
        <c:axId val="148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38100</xdr:rowOff>
    </xdr:from>
    <xdr:to>
      <xdr:col>9</xdr:col>
      <xdr:colOff>400050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2</xdr:row>
      <xdr:rowOff>38100</xdr:rowOff>
    </xdr:from>
    <xdr:to>
      <xdr:col>16</xdr:col>
      <xdr:colOff>400050</xdr:colOff>
      <xdr:row>16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</xdr:colOff>
      <xdr:row>29</xdr:row>
      <xdr:rowOff>38100</xdr:rowOff>
    </xdr:from>
    <xdr:to>
      <xdr:col>9</xdr:col>
      <xdr:colOff>400050</xdr:colOff>
      <xdr:row>35</xdr:row>
      <xdr:rowOff>523875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29</xdr:row>
      <xdr:rowOff>38100</xdr:rowOff>
    </xdr:from>
    <xdr:to>
      <xdr:col>16</xdr:col>
      <xdr:colOff>400050</xdr:colOff>
      <xdr:row>35</xdr:row>
      <xdr:rowOff>523875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44450</xdr:colOff>
      <xdr:row>16</xdr:row>
      <xdr:rowOff>127000</xdr:rowOff>
    </xdr:from>
    <xdr:to>
      <xdr:col>9</xdr:col>
      <xdr:colOff>406400</xdr:colOff>
      <xdr:row>28</xdr:row>
      <xdr:rowOff>107950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31750</xdr:colOff>
      <xdr:row>16</xdr:row>
      <xdr:rowOff>171450</xdr:rowOff>
    </xdr:from>
    <xdr:to>
      <xdr:col>16</xdr:col>
      <xdr:colOff>400050</xdr:colOff>
      <xdr:row>28</xdr:row>
      <xdr:rowOff>120650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>
      <pane xSplit="2" ySplit="1" topLeftCell="H10" activePane="bottomRight" state="frozen"/>
      <selection pane="topRight" activeCell="C1" sqref="C1"/>
      <selection pane="bottomLeft" activeCell="A2" sqref="A2"/>
      <selection pane="bottomRight" activeCell="I4" sqref="I4"/>
    </sheetView>
  </sheetViews>
  <sheetFormatPr defaultRowHeight="14.5" x14ac:dyDescent="0.35"/>
  <cols>
    <col min="1" max="1" width="11.7265625" customWidth="1"/>
    <col min="2" max="2" width="13.7265625" customWidth="1"/>
    <col min="3" max="5" width="9.7265625" customWidth="1"/>
    <col min="6" max="6" width="15.7265625" customWidth="1"/>
    <col min="7" max="8" width="10.7265625" customWidth="1"/>
    <col min="9" max="9" width="14.7265625" customWidth="1"/>
    <col min="10" max="10" width="19.08984375" customWidth="1"/>
    <col min="11" max="11" width="12.7265625" customWidth="1"/>
    <col min="12" max="12" width="18.90625" customWidth="1"/>
    <col min="13" max="13" width="12.7265625" customWidth="1"/>
    <col min="14" max="14" width="19.26953125" customWidth="1"/>
    <col min="15" max="15" width="18.1796875" customWidth="1"/>
    <col min="16" max="19" width="11.7265625" customWidth="1"/>
    <col min="20" max="20" width="3.7265625" customWidth="1"/>
    <col min="21" max="21" width="44.7265625" customWidth="1"/>
    <col min="22" max="22" width="16.7265625" customWidth="1"/>
    <col min="23" max="26" width="12.7265625" customWidth="1"/>
    <col min="27" max="28" width="14.7265625" customWidth="1"/>
  </cols>
  <sheetData>
    <row r="1" spans="1:19" ht="32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s="15">
        <v>1001</v>
      </c>
      <c r="B2" s="14" t="s">
        <v>19</v>
      </c>
      <c r="C2" s="15">
        <v>61</v>
      </c>
      <c r="D2" s="15">
        <v>48</v>
      </c>
      <c r="E2" s="15">
        <v>76</v>
      </c>
      <c r="F2" s="5">
        <v>43101</v>
      </c>
      <c r="G2" s="15">
        <f t="shared" ref="G2:G21" si="0">SUM(C2:E2)</f>
        <v>185</v>
      </c>
      <c r="H2" s="20">
        <f t="shared" ref="H2:H21" si="1">AVERAGE(C2:E2)</f>
        <v>61.666666666666664</v>
      </c>
      <c r="I2" s="6" t="str">
        <f>IF(H2&gt;=70,"A",IF(H2&gt;=65,"B",IF(H2&gt;=60,"C",IF(H2&lt;60,"D","E"))))</f>
        <v>C</v>
      </c>
      <c r="J2" s="6" t="str">
        <f>IF(AND(C2&gt;80,D2&gt;80),"Yes","No")</f>
        <v>No</v>
      </c>
      <c r="K2" s="14" t="str">
        <f t="shared" ref="K2:K21" si="2">LEFT(B2,FIND(" ",B2)-1)</f>
        <v>Student</v>
      </c>
      <c r="L2" s="14" t="str">
        <f t="shared" ref="L2:L21" si="3">UPPER(B2)</f>
        <v>STUDENT 1</v>
      </c>
      <c r="M2" s="14" t="str">
        <f t="shared" ref="M2:M21" si="4">LOWER(B2)</f>
        <v>student 1</v>
      </c>
      <c r="N2" s="6">
        <f>IF(F2&gt;"17-Oct-2026","Not yet enrolled",DATEDIF(F2,"16-Oct-2026","Y"))</f>
        <v>8</v>
      </c>
      <c r="O2" s="7" t="str">
        <f t="shared" ref="O2:O4" si="5">IF(F2&gt;$V$14,"Not yet enrolled",$V$14-F2)</f>
        <v>Not yet enrolled</v>
      </c>
      <c r="P2" s="15">
        <f t="shared" ref="P2:P21" si="6">ROUND(H2,0)</f>
        <v>62</v>
      </c>
      <c r="Q2" s="15">
        <f t="shared" ref="Q2:Q21" si="7">CEILING(H2,5)</f>
        <v>65</v>
      </c>
      <c r="R2" s="15">
        <f t="shared" ref="R2:R21" si="8">FLOOR(H2,5)</f>
        <v>60</v>
      </c>
      <c r="S2" s="15">
        <f t="shared" ref="S2:S21" si="9">RANK(H2,$H$2:$H$21)</f>
        <v>16</v>
      </c>
    </row>
    <row r="3" spans="1:19" x14ac:dyDescent="0.35">
      <c r="A3" s="15">
        <v>1002</v>
      </c>
      <c r="B3" s="14" t="s">
        <v>20</v>
      </c>
      <c r="C3" s="15">
        <v>78</v>
      </c>
      <c r="D3" s="15">
        <v>76</v>
      </c>
      <c r="E3" s="15">
        <v>70</v>
      </c>
      <c r="F3" s="5">
        <v>43281</v>
      </c>
      <c r="G3" s="15">
        <f t="shared" si="0"/>
        <v>224</v>
      </c>
      <c r="H3" s="20">
        <f t="shared" si="1"/>
        <v>74.666666666666671</v>
      </c>
      <c r="I3" s="6" t="str">
        <f t="shared" ref="I3:I21" si="10">IF(H3&gt;=70,"A",IF(H3&gt;=65,"B",IF(H3&gt;=60,"C",IF(H3&lt;60,"D","E"))))</f>
        <v>A</v>
      </c>
      <c r="J3" s="6" t="str">
        <f t="shared" ref="J3:J21" si="11">IF(AND(C3&gt;80,D3&gt;80),"Yes","No")</f>
        <v>No</v>
      </c>
      <c r="K3" s="14" t="str">
        <f t="shared" si="2"/>
        <v>Student</v>
      </c>
      <c r="L3" s="14" t="str">
        <f t="shared" si="3"/>
        <v>STUDENT 2</v>
      </c>
      <c r="M3" s="14" t="str">
        <f t="shared" si="4"/>
        <v>student 2</v>
      </c>
      <c r="N3" s="6">
        <f t="shared" ref="N3:N21" si="12">IF(F3&gt;"17-Oct-2026","Not yet enrolled",DATEDIF(F3,"16-Oct-2026","Y"))</f>
        <v>8</v>
      </c>
      <c r="O3" s="7" t="str">
        <f t="shared" si="5"/>
        <v>Not yet enrolled</v>
      </c>
      <c r="P3" s="15">
        <f t="shared" si="6"/>
        <v>75</v>
      </c>
      <c r="Q3" s="15">
        <f t="shared" si="7"/>
        <v>75</v>
      </c>
      <c r="R3" s="15">
        <f t="shared" si="8"/>
        <v>70</v>
      </c>
      <c r="S3" s="15">
        <f t="shared" si="9"/>
        <v>8</v>
      </c>
    </row>
    <row r="4" spans="1:19" x14ac:dyDescent="0.35">
      <c r="A4" s="15">
        <v>1003</v>
      </c>
      <c r="B4" s="14" t="s">
        <v>21</v>
      </c>
      <c r="C4" s="15">
        <v>97</v>
      </c>
      <c r="D4" s="15">
        <v>60</v>
      </c>
      <c r="E4" s="15">
        <v>51</v>
      </c>
      <c r="F4" s="5">
        <v>43461</v>
      </c>
      <c r="G4" s="15">
        <f t="shared" si="0"/>
        <v>208</v>
      </c>
      <c r="H4" s="20">
        <f t="shared" si="1"/>
        <v>69.333333333333329</v>
      </c>
      <c r="I4" s="6" t="str">
        <f t="shared" si="10"/>
        <v>B</v>
      </c>
      <c r="J4" s="6" t="str">
        <f t="shared" si="11"/>
        <v>No</v>
      </c>
      <c r="K4" s="14" t="str">
        <f t="shared" si="2"/>
        <v>Student</v>
      </c>
      <c r="L4" s="14" t="str">
        <f t="shared" si="3"/>
        <v>STUDENT 3</v>
      </c>
      <c r="M4" s="14" t="str">
        <f t="shared" si="4"/>
        <v>student 3</v>
      </c>
      <c r="N4" s="6">
        <f t="shared" si="12"/>
        <v>7</v>
      </c>
      <c r="O4" s="7" t="str">
        <f t="shared" si="5"/>
        <v>Not yet enrolled</v>
      </c>
      <c r="P4" s="15">
        <f t="shared" si="6"/>
        <v>69</v>
      </c>
      <c r="Q4" s="15">
        <f t="shared" si="7"/>
        <v>70</v>
      </c>
      <c r="R4" s="15">
        <f t="shared" si="8"/>
        <v>65</v>
      </c>
      <c r="S4" s="15">
        <f t="shared" si="9"/>
        <v>12</v>
      </c>
    </row>
    <row r="5" spans="1:19" x14ac:dyDescent="0.35">
      <c r="A5" s="15">
        <v>1004</v>
      </c>
      <c r="B5" s="14" t="s">
        <v>22</v>
      </c>
      <c r="C5" s="15">
        <v>74</v>
      </c>
      <c r="D5" s="15">
        <v>55</v>
      </c>
      <c r="E5" s="15">
        <v>46</v>
      </c>
      <c r="F5" s="5">
        <v>43641</v>
      </c>
      <c r="G5" s="15">
        <f t="shared" si="0"/>
        <v>175</v>
      </c>
      <c r="H5" s="20">
        <f t="shared" si="1"/>
        <v>58.333333333333336</v>
      </c>
      <c r="I5" s="6" t="str">
        <f t="shared" si="10"/>
        <v>D</v>
      </c>
      <c r="J5" s="6" t="str">
        <f t="shared" si="11"/>
        <v>No</v>
      </c>
      <c r="K5" s="14" t="str">
        <f t="shared" si="2"/>
        <v>Student</v>
      </c>
      <c r="L5" s="14" t="str">
        <f t="shared" si="3"/>
        <v>STUDENT 4</v>
      </c>
      <c r="M5" s="14" t="str">
        <f t="shared" si="4"/>
        <v>student 4</v>
      </c>
      <c r="N5" s="6">
        <f t="shared" si="12"/>
        <v>7</v>
      </c>
      <c r="O5" s="7">
        <f>IF(F5&gt;"17-Oct-2026","Not yet enrolled","16-Oct-2026"-F5)</f>
        <v>2670</v>
      </c>
      <c r="P5" s="15">
        <f t="shared" si="6"/>
        <v>58</v>
      </c>
      <c r="Q5" s="15">
        <f t="shared" si="7"/>
        <v>60</v>
      </c>
      <c r="R5" s="15">
        <f t="shared" si="8"/>
        <v>55</v>
      </c>
      <c r="S5" s="15">
        <f t="shared" si="9"/>
        <v>18</v>
      </c>
    </row>
    <row r="6" spans="1:19" x14ac:dyDescent="0.35">
      <c r="A6" s="15">
        <v>1005</v>
      </c>
      <c r="B6" s="14" t="s">
        <v>23</v>
      </c>
      <c r="C6" s="15">
        <v>68</v>
      </c>
      <c r="D6" s="15">
        <v>74</v>
      </c>
      <c r="E6" s="15">
        <v>84</v>
      </c>
      <c r="F6" s="5">
        <v>43821</v>
      </c>
      <c r="G6" s="15">
        <f t="shared" si="0"/>
        <v>226</v>
      </c>
      <c r="H6" s="20">
        <f t="shared" si="1"/>
        <v>75.333333333333329</v>
      </c>
      <c r="I6" s="6" t="str">
        <f t="shared" si="10"/>
        <v>A</v>
      </c>
      <c r="J6" s="6" t="str">
        <f t="shared" si="11"/>
        <v>No</v>
      </c>
      <c r="K6" s="14" t="str">
        <f t="shared" si="2"/>
        <v>Student</v>
      </c>
      <c r="L6" s="14" t="str">
        <f t="shared" si="3"/>
        <v>STUDENT 5</v>
      </c>
      <c r="M6" s="14" t="str">
        <f t="shared" si="4"/>
        <v>student 5</v>
      </c>
      <c r="N6" s="6">
        <f t="shared" si="12"/>
        <v>6</v>
      </c>
      <c r="O6" s="7">
        <f t="shared" ref="O6:O21" si="13">IF(F6&gt;"17-Oct-2026","Not yet enrolled","16-Oct-2026"-F6)</f>
        <v>2490</v>
      </c>
      <c r="P6" s="15">
        <f t="shared" si="6"/>
        <v>75</v>
      </c>
      <c r="Q6" s="15">
        <f t="shared" si="7"/>
        <v>80</v>
      </c>
      <c r="R6" s="15">
        <f t="shared" si="8"/>
        <v>75</v>
      </c>
      <c r="S6" s="15">
        <f>RANK(H6,$H$2:$H$21)</f>
        <v>6</v>
      </c>
    </row>
    <row r="7" spans="1:19" x14ac:dyDescent="0.35">
      <c r="A7" s="15">
        <v>1006</v>
      </c>
      <c r="B7" s="14" t="s">
        <v>24</v>
      </c>
      <c r="C7" s="15">
        <v>80</v>
      </c>
      <c r="D7" s="15">
        <v>70</v>
      </c>
      <c r="E7" s="15">
        <v>65</v>
      </c>
      <c r="F7" s="5">
        <v>44001</v>
      </c>
      <c r="G7" s="15">
        <f t="shared" si="0"/>
        <v>215</v>
      </c>
      <c r="H7" s="20">
        <f t="shared" si="1"/>
        <v>71.666666666666671</v>
      </c>
      <c r="I7" s="6" t="str">
        <f t="shared" si="10"/>
        <v>A</v>
      </c>
      <c r="J7" s="6" t="str">
        <f t="shared" si="11"/>
        <v>No</v>
      </c>
      <c r="K7" s="14" t="str">
        <f t="shared" si="2"/>
        <v>Student</v>
      </c>
      <c r="L7" s="14" t="str">
        <f t="shared" si="3"/>
        <v>STUDENT 6</v>
      </c>
      <c r="M7" s="14" t="str">
        <f t="shared" si="4"/>
        <v>student 6</v>
      </c>
      <c r="N7" s="6">
        <f t="shared" si="12"/>
        <v>6</v>
      </c>
      <c r="O7" s="7">
        <f t="shared" si="13"/>
        <v>2310</v>
      </c>
      <c r="P7" s="15">
        <f t="shared" si="6"/>
        <v>72</v>
      </c>
      <c r="Q7" s="15">
        <f t="shared" si="7"/>
        <v>75</v>
      </c>
      <c r="R7" s="15">
        <f t="shared" si="8"/>
        <v>70</v>
      </c>
      <c r="S7" s="15">
        <f t="shared" si="9"/>
        <v>9</v>
      </c>
    </row>
    <row r="8" spans="1:19" x14ac:dyDescent="0.35">
      <c r="A8" s="15">
        <v>1007</v>
      </c>
      <c r="B8" s="14" t="s">
        <v>25</v>
      </c>
      <c r="C8" s="15">
        <v>75</v>
      </c>
      <c r="D8" s="15">
        <v>47</v>
      </c>
      <c r="E8" s="15">
        <v>78</v>
      </c>
      <c r="F8" s="5">
        <v>44181</v>
      </c>
      <c r="G8" s="15">
        <f t="shared" si="0"/>
        <v>200</v>
      </c>
      <c r="H8" s="20">
        <f t="shared" si="1"/>
        <v>66.666666666666671</v>
      </c>
      <c r="I8" s="6" t="str">
        <f t="shared" si="10"/>
        <v>B</v>
      </c>
      <c r="J8" s="6" t="str">
        <f t="shared" si="11"/>
        <v>No</v>
      </c>
      <c r="K8" s="14" t="str">
        <f t="shared" si="2"/>
        <v>Student</v>
      </c>
      <c r="L8" s="14" t="str">
        <f t="shared" si="3"/>
        <v>STUDENT 7</v>
      </c>
      <c r="M8" s="14" t="str">
        <f t="shared" si="4"/>
        <v>student 7</v>
      </c>
      <c r="N8" s="6">
        <f t="shared" si="12"/>
        <v>5</v>
      </c>
      <c r="O8" s="7">
        <f t="shared" si="13"/>
        <v>2130</v>
      </c>
      <c r="P8" s="15">
        <f t="shared" si="6"/>
        <v>67</v>
      </c>
      <c r="Q8" s="15">
        <f t="shared" si="7"/>
        <v>70</v>
      </c>
      <c r="R8" s="15">
        <f t="shared" si="8"/>
        <v>65</v>
      </c>
      <c r="S8" s="15">
        <f t="shared" si="9"/>
        <v>14</v>
      </c>
    </row>
    <row r="9" spans="1:19" x14ac:dyDescent="0.35">
      <c r="A9" s="15">
        <v>1008</v>
      </c>
      <c r="B9" s="14" t="s">
        <v>26</v>
      </c>
      <c r="C9" s="15">
        <v>94</v>
      </c>
      <c r="D9" s="15">
        <v>67</v>
      </c>
      <c r="E9" s="15">
        <v>64</v>
      </c>
      <c r="F9" s="5">
        <v>44361</v>
      </c>
      <c r="G9" s="15">
        <f t="shared" si="0"/>
        <v>225</v>
      </c>
      <c r="H9" s="20">
        <f t="shared" si="1"/>
        <v>75</v>
      </c>
      <c r="I9" s="6" t="str">
        <f t="shared" si="10"/>
        <v>A</v>
      </c>
      <c r="J9" s="6" t="str">
        <f t="shared" si="11"/>
        <v>No</v>
      </c>
      <c r="K9" s="14" t="str">
        <f t="shared" si="2"/>
        <v>Student</v>
      </c>
      <c r="L9" s="14" t="str">
        <f t="shared" si="3"/>
        <v>STUDENT 8</v>
      </c>
      <c r="M9" s="14" t="str">
        <f t="shared" si="4"/>
        <v>student 8</v>
      </c>
      <c r="N9" s="6">
        <f t="shared" si="12"/>
        <v>5</v>
      </c>
      <c r="O9" s="7">
        <f t="shared" si="13"/>
        <v>1950</v>
      </c>
      <c r="P9" s="15">
        <f t="shared" si="6"/>
        <v>75</v>
      </c>
      <c r="Q9" s="15">
        <f t="shared" si="7"/>
        <v>75</v>
      </c>
      <c r="R9" s="15">
        <f t="shared" si="8"/>
        <v>75</v>
      </c>
      <c r="S9" s="15">
        <f t="shared" si="9"/>
        <v>7</v>
      </c>
    </row>
    <row r="10" spans="1:19" x14ac:dyDescent="0.35">
      <c r="A10" s="15">
        <v>1009</v>
      </c>
      <c r="B10" s="14" t="s">
        <v>27</v>
      </c>
      <c r="C10" s="15">
        <v>41</v>
      </c>
      <c r="D10" s="15">
        <v>75</v>
      </c>
      <c r="E10" s="15">
        <v>56</v>
      </c>
      <c r="F10" s="5">
        <v>44541</v>
      </c>
      <c r="G10" s="15">
        <f t="shared" si="0"/>
        <v>172</v>
      </c>
      <c r="H10" s="20">
        <f t="shared" si="1"/>
        <v>57.333333333333336</v>
      </c>
      <c r="I10" s="6" t="str">
        <f t="shared" si="10"/>
        <v>D</v>
      </c>
      <c r="J10" s="6" t="str">
        <f t="shared" si="11"/>
        <v>No</v>
      </c>
      <c r="K10" s="14" t="str">
        <f t="shared" si="2"/>
        <v>Student</v>
      </c>
      <c r="L10" s="14" t="str">
        <f t="shared" si="3"/>
        <v>STUDENT 9</v>
      </c>
      <c r="M10" s="14" t="str">
        <f t="shared" si="4"/>
        <v>student 9</v>
      </c>
      <c r="N10" s="6">
        <f t="shared" si="12"/>
        <v>4</v>
      </c>
      <c r="O10" s="7">
        <f t="shared" si="13"/>
        <v>1770</v>
      </c>
      <c r="P10" s="15">
        <f t="shared" si="6"/>
        <v>57</v>
      </c>
      <c r="Q10" s="15">
        <f t="shared" si="7"/>
        <v>60</v>
      </c>
      <c r="R10" s="15">
        <f t="shared" si="8"/>
        <v>55</v>
      </c>
      <c r="S10" s="15">
        <f t="shared" si="9"/>
        <v>19</v>
      </c>
    </row>
    <row r="11" spans="1:19" x14ac:dyDescent="0.35">
      <c r="A11" s="15">
        <v>1010</v>
      </c>
      <c r="B11" s="14" t="s">
        <v>28</v>
      </c>
      <c r="C11" s="15">
        <v>98</v>
      </c>
      <c r="D11" s="15">
        <v>54</v>
      </c>
      <c r="E11" s="15">
        <v>58</v>
      </c>
      <c r="F11" s="5">
        <v>44721</v>
      </c>
      <c r="G11" s="15">
        <f t="shared" si="0"/>
        <v>210</v>
      </c>
      <c r="H11" s="20">
        <f t="shared" si="1"/>
        <v>70</v>
      </c>
      <c r="I11" s="6" t="str">
        <f t="shared" si="10"/>
        <v>A</v>
      </c>
      <c r="J11" s="6" t="str">
        <f t="shared" si="11"/>
        <v>No</v>
      </c>
      <c r="K11" s="14" t="str">
        <f t="shared" si="2"/>
        <v>Student</v>
      </c>
      <c r="L11" s="14" t="str">
        <f t="shared" si="3"/>
        <v>STUDENT 10</v>
      </c>
      <c r="M11" s="14" t="str">
        <f t="shared" si="4"/>
        <v>student 10</v>
      </c>
      <c r="N11" s="6">
        <f t="shared" si="12"/>
        <v>4</v>
      </c>
      <c r="O11" s="7">
        <f t="shared" si="13"/>
        <v>1590</v>
      </c>
      <c r="P11" s="15">
        <f t="shared" si="6"/>
        <v>70</v>
      </c>
      <c r="Q11" s="15">
        <f t="shared" si="7"/>
        <v>70</v>
      </c>
      <c r="R11" s="15">
        <f t="shared" si="8"/>
        <v>70</v>
      </c>
      <c r="S11" s="15">
        <f t="shared" si="9"/>
        <v>10</v>
      </c>
    </row>
    <row r="12" spans="1:19" x14ac:dyDescent="0.35">
      <c r="A12" s="15">
        <v>1011</v>
      </c>
      <c r="B12" s="14" t="s">
        <v>29</v>
      </c>
      <c r="C12" s="15">
        <v>73</v>
      </c>
      <c r="D12" s="15">
        <v>79</v>
      </c>
      <c r="E12" s="15">
        <v>53</v>
      </c>
      <c r="F12" s="5">
        <v>44901</v>
      </c>
      <c r="G12" s="15">
        <f t="shared" si="0"/>
        <v>205</v>
      </c>
      <c r="H12" s="20">
        <f t="shared" si="1"/>
        <v>68.333333333333329</v>
      </c>
      <c r="I12" s="6" t="str">
        <f t="shared" si="10"/>
        <v>B</v>
      </c>
      <c r="J12" s="6" t="str">
        <f t="shared" si="11"/>
        <v>No</v>
      </c>
      <c r="K12" s="14" t="str">
        <f t="shared" si="2"/>
        <v>Student</v>
      </c>
      <c r="L12" s="14" t="str">
        <f t="shared" si="3"/>
        <v>STUDENT 11</v>
      </c>
      <c r="M12" s="14" t="str">
        <f t="shared" si="4"/>
        <v>student 11</v>
      </c>
      <c r="N12" s="6">
        <f t="shared" si="12"/>
        <v>3</v>
      </c>
      <c r="O12" s="7">
        <f t="shared" si="13"/>
        <v>1410</v>
      </c>
      <c r="P12" s="15">
        <f t="shared" si="6"/>
        <v>68</v>
      </c>
      <c r="Q12" s="15">
        <f t="shared" si="7"/>
        <v>70</v>
      </c>
      <c r="R12" s="15">
        <f t="shared" si="8"/>
        <v>65</v>
      </c>
      <c r="S12" s="15">
        <f t="shared" si="9"/>
        <v>13</v>
      </c>
    </row>
    <row r="13" spans="1:19" x14ac:dyDescent="0.35">
      <c r="A13" s="15">
        <v>1012</v>
      </c>
      <c r="B13" s="14" t="s">
        <v>30</v>
      </c>
      <c r="C13" s="15">
        <v>85</v>
      </c>
      <c r="D13" s="15">
        <v>89</v>
      </c>
      <c r="E13" s="15">
        <v>79</v>
      </c>
      <c r="F13" s="5">
        <v>45081</v>
      </c>
      <c r="G13" s="15">
        <f t="shared" si="0"/>
        <v>253</v>
      </c>
      <c r="H13" s="20">
        <f t="shared" si="1"/>
        <v>84.333333333333329</v>
      </c>
      <c r="I13" s="6" t="str">
        <f t="shared" si="10"/>
        <v>A</v>
      </c>
      <c r="J13" s="6" t="str">
        <f t="shared" si="11"/>
        <v>Yes</v>
      </c>
      <c r="K13" s="14" t="str">
        <f t="shared" si="2"/>
        <v>Student</v>
      </c>
      <c r="L13" s="14" t="str">
        <f t="shared" si="3"/>
        <v>STUDENT 12</v>
      </c>
      <c r="M13" s="14" t="str">
        <f t="shared" si="4"/>
        <v>student 12</v>
      </c>
      <c r="N13" s="6">
        <f t="shared" si="12"/>
        <v>3</v>
      </c>
      <c r="O13" s="7">
        <f t="shared" si="13"/>
        <v>1230</v>
      </c>
      <c r="P13" s="15">
        <f t="shared" si="6"/>
        <v>84</v>
      </c>
      <c r="Q13" s="15">
        <f t="shared" si="7"/>
        <v>85</v>
      </c>
      <c r="R13" s="15">
        <f t="shared" si="8"/>
        <v>80</v>
      </c>
      <c r="S13" s="15">
        <f t="shared" si="9"/>
        <v>2</v>
      </c>
    </row>
    <row r="14" spans="1:19" x14ac:dyDescent="0.35">
      <c r="A14" s="15">
        <v>1013</v>
      </c>
      <c r="B14" s="14" t="s">
        <v>31</v>
      </c>
      <c r="C14" s="15">
        <v>98</v>
      </c>
      <c r="D14" s="15">
        <v>90</v>
      </c>
      <c r="E14" s="15">
        <v>97</v>
      </c>
      <c r="F14" s="5">
        <v>45261</v>
      </c>
      <c r="G14" s="15">
        <f t="shared" si="0"/>
        <v>285</v>
      </c>
      <c r="H14" s="20">
        <f t="shared" si="1"/>
        <v>95</v>
      </c>
      <c r="I14" s="6" t="str">
        <f t="shared" si="10"/>
        <v>A</v>
      </c>
      <c r="J14" s="6" t="str">
        <f t="shared" si="11"/>
        <v>Yes</v>
      </c>
      <c r="K14" s="14" t="str">
        <f t="shared" si="2"/>
        <v>Student</v>
      </c>
      <c r="L14" s="14" t="str">
        <f t="shared" si="3"/>
        <v>STUDENT 13</v>
      </c>
      <c r="M14" s="14" t="str">
        <f t="shared" si="4"/>
        <v>student 13</v>
      </c>
      <c r="N14" s="6">
        <f t="shared" si="12"/>
        <v>2</v>
      </c>
      <c r="O14" s="7">
        <f t="shared" si="13"/>
        <v>1050</v>
      </c>
      <c r="P14" s="15">
        <f t="shared" si="6"/>
        <v>95</v>
      </c>
      <c r="Q14" s="15">
        <f t="shared" si="7"/>
        <v>95</v>
      </c>
      <c r="R14" s="15">
        <f t="shared" si="8"/>
        <v>95</v>
      </c>
      <c r="S14" s="15">
        <f t="shared" si="9"/>
        <v>1</v>
      </c>
    </row>
    <row r="15" spans="1:19" x14ac:dyDescent="0.35">
      <c r="A15" s="15">
        <v>1014</v>
      </c>
      <c r="B15" s="14" t="s">
        <v>32</v>
      </c>
      <c r="C15" s="15">
        <v>93</v>
      </c>
      <c r="D15" s="15">
        <v>40</v>
      </c>
      <c r="E15" s="15">
        <v>44</v>
      </c>
      <c r="F15" s="5">
        <v>45441</v>
      </c>
      <c r="G15" s="15">
        <f t="shared" si="0"/>
        <v>177</v>
      </c>
      <c r="H15" s="20">
        <f t="shared" si="1"/>
        <v>59</v>
      </c>
      <c r="I15" s="6" t="str">
        <f t="shared" si="10"/>
        <v>D</v>
      </c>
      <c r="J15" s="6" t="str">
        <f t="shared" si="11"/>
        <v>No</v>
      </c>
      <c r="K15" s="14" t="str">
        <f t="shared" si="2"/>
        <v>Student</v>
      </c>
      <c r="L15" s="14" t="str">
        <f t="shared" si="3"/>
        <v>STUDENT 14</v>
      </c>
      <c r="M15" s="14" t="str">
        <f t="shared" si="4"/>
        <v>student 14</v>
      </c>
      <c r="N15" s="6">
        <f t="shared" si="12"/>
        <v>2</v>
      </c>
      <c r="O15" s="7">
        <f t="shared" si="13"/>
        <v>870</v>
      </c>
      <c r="P15" s="15">
        <f t="shared" si="6"/>
        <v>59</v>
      </c>
      <c r="Q15" s="15">
        <f t="shared" si="7"/>
        <v>60</v>
      </c>
      <c r="R15" s="15">
        <f t="shared" si="8"/>
        <v>55</v>
      </c>
      <c r="S15" s="15">
        <f t="shared" si="9"/>
        <v>17</v>
      </c>
    </row>
    <row r="16" spans="1:19" x14ac:dyDescent="0.35">
      <c r="A16" s="15">
        <v>1015</v>
      </c>
      <c r="B16" s="14" t="s">
        <v>33</v>
      </c>
      <c r="C16" s="15">
        <v>70</v>
      </c>
      <c r="D16" s="15">
        <v>51</v>
      </c>
      <c r="E16" s="15">
        <v>75</v>
      </c>
      <c r="F16" s="5">
        <v>45621</v>
      </c>
      <c r="G16" s="15">
        <f t="shared" si="0"/>
        <v>196</v>
      </c>
      <c r="H16" s="20">
        <f t="shared" si="1"/>
        <v>65.333333333333329</v>
      </c>
      <c r="I16" s="6" t="str">
        <f t="shared" si="10"/>
        <v>B</v>
      </c>
      <c r="J16" s="6" t="str">
        <f t="shared" si="11"/>
        <v>No</v>
      </c>
      <c r="K16" s="14" t="str">
        <f t="shared" si="2"/>
        <v>Student</v>
      </c>
      <c r="L16" s="14" t="str">
        <f t="shared" si="3"/>
        <v>STUDENT 15</v>
      </c>
      <c r="M16" s="14" t="str">
        <f t="shared" si="4"/>
        <v>student 15</v>
      </c>
      <c r="N16" s="6">
        <f t="shared" si="12"/>
        <v>1</v>
      </c>
      <c r="O16" s="7">
        <f t="shared" si="13"/>
        <v>690</v>
      </c>
      <c r="P16" s="15">
        <f t="shared" si="6"/>
        <v>65</v>
      </c>
      <c r="Q16" s="15">
        <f t="shared" si="7"/>
        <v>70</v>
      </c>
      <c r="R16" s="15">
        <f t="shared" si="8"/>
        <v>65</v>
      </c>
      <c r="S16" s="15">
        <f t="shared" si="9"/>
        <v>15</v>
      </c>
    </row>
    <row r="17" spans="1:19" x14ac:dyDescent="0.35">
      <c r="A17" s="15">
        <v>1016</v>
      </c>
      <c r="B17" s="14" t="s">
        <v>34</v>
      </c>
      <c r="C17" s="15">
        <v>98</v>
      </c>
      <c r="D17" s="15">
        <v>77</v>
      </c>
      <c r="E17" s="15">
        <v>60</v>
      </c>
      <c r="F17" s="5">
        <v>45801</v>
      </c>
      <c r="G17" s="15">
        <f t="shared" si="0"/>
        <v>235</v>
      </c>
      <c r="H17" s="20">
        <f t="shared" si="1"/>
        <v>78.333333333333329</v>
      </c>
      <c r="I17" s="6" t="str">
        <f t="shared" si="10"/>
        <v>A</v>
      </c>
      <c r="J17" s="6" t="str">
        <f t="shared" si="11"/>
        <v>No</v>
      </c>
      <c r="K17" s="14" t="str">
        <f t="shared" si="2"/>
        <v>Student</v>
      </c>
      <c r="L17" s="14" t="str">
        <f t="shared" si="3"/>
        <v>STUDENT 16</v>
      </c>
      <c r="M17" s="14" t="str">
        <f t="shared" si="4"/>
        <v>student 16</v>
      </c>
      <c r="N17" s="6">
        <f t="shared" si="12"/>
        <v>1</v>
      </c>
      <c r="O17" s="7">
        <f t="shared" si="13"/>
        <v>510</v>
      </c>
      <c r="P17" s="15">
        <f t="shared" si="6"/>
        <v>78</v>
      </c>
      <c r="Q17" s="15">
        <f t="shared" si="7"/>
        <v>80</v>
      </c>
      <c r="R17" s="15">
        <f t="shared" si="8"/>
        <v>75</v>
      </c>
      <c r="S17" s="15">
        <f t="shared" si="9"/>
        <v>3</v>
      </c>
    </row>
    <row r="18" spans="1:19" x14ac:dyDescent="0.35">
      <c r="A18" s="15">
        <v>1017</v>
      </c>
      <c r="B18" s="14" t="s">
        <v>35</v>
      </c>
      <c r="C18" s="15">
        <v>66</v>
      </c>
      <c r="D18" s="15">
        <v>59</v>
      </c>
      <c r="E18" s="15">
        <v>40</v>
      </c>
      <c r="F18" s="5">
        <v>45981</v>
      </c>
      <c r="G18" s="15">
        <f t="shared" si="0"/>
        <v>165</v>
      </c>
      <c r="H18" s="20">
        <f t="shared" si="1"/>
        <v>55</v>
      </c>
      <c r="I18" s="6" t="str">
        <f t="shared" si="10"/>
        <v>D</v>
      </c>
      <c r="J18" s="6" t="str">
        <f t="shared" si="11"/>
        <v>No</v>
      </c>
      <c r="K18" s="14" t="str">
        <f t="shared" si="2"/>
        <v>Student</v>
      </c>
      <c r="L18" s="14" t="str">
        <f t="shared" si="3"/>
        <v>STUDENT 17</v>
      </c>
      <c r="M18" s="14" t="str">
        <f t="shared" si="4"/>
        <v>student 17</v>
      </c>
      <c r="N18" s="6">
        <f t="shared" si="12"/>
        <v>0</v>
      </c>
      <c r="O18" s="7">
        <f t="shared" si="13"/>
        <v>330</v>
      </c>
      <c r="P18" s="15">
        <f t="shared" si="6"/>
        <v>55</v>
      </c>
      <c r="Q18" s="15">
        <f t="shared" si="7"/>
        <v>55</v>
      </c>
      <c r="R18" s="15">
        <f t="shared" si="8"/>
        <v>55</v>
      </c>
      <c r="S18" s="15">
        <f t="shared" si="9"/>
        <v>20</v>
      </c>
    </row>
    <row r="19" spans="1:19" x14ac:dyDescent="0.35">
      <c r="A19" s="15">
        <v>1018</v>
      </c>
      <c r="B19" s="14" t="s">
        <v>36</v>
      </c>
      <c r="C19" s="15">
        <v>82</v>
      </c>
      <c r="D19" s="15">
        <v>48</v>
      </c>
      <c r="E19" s="15">
        <v>79</v>
      </c>
      <c r="F19" s="5">
        <v>46161</v>
      </c>
      <c r="G19" s="15">
        <f t="shared" si="0"/>
        <v>209</v>
      </c>
      <c r="H19" s="20">
        <f t="shared" si="1"/>
        <v>69.666666666666671</v>
      </c>
      <c r="I19" s="6" t="str">
        <f t="shared" si="10"/>
        <v>B</v>
      </c>
      <c r="J19" s="6" t="str">
        <f t="shared" si="11"/>
        <v>No</v>
      </c>
      <c r="K19" s="14" t="str">
        <f t="shared" si="2"/>
        <v>Student</v>
      </c>
      <c r="L19" s="14" t="str">
        <f t="shared" si="3"/>
        <v>STUDENT 18</v>
      </c>
      <c r="M19" s="14" t="str">
        <f t="shared" si="4"/>
        <v>student 18</v>
      </c>
      <c r="N19" s="6">
        <f t="shared" si="12"/>
        <v>0</v>
      </c>
      <c r="O19" s="7">
        <f t="shared" si="13"/>
        <v>150</v>
      </c>
      <c r="P19" s="15">
        <f t="shared" si="6"/>
        <v>70</v>
      </c>
      <c r="Q19" s="15">
        <f t="shared" si="7"/>
        <v>70</v>
      </c>
      <c r="R19" s="15">
        <f t="shared" si="8"/>
        <v>65</v>
      </c>
      <c r="S19" s="15">
        <f t="shared" si="9"/>
        <v>11</v>
      </c>
    </row>
    <row r="20" spans="1:19" x14ac:dyDescent="0.35">
      <c r="A20" s="15">
        <v>1019</v>
      </c>
      <c r="B20" s="14" t="s">
        <v>37</v>
      </c>
      <c r="C20" s="15">
        <v>90</v>
      </c>
      <c r="D20" s="15">
        <v>78</v>
      </c>
      <c r="E20" s="15">
        <v>60</v>
      </c>
      <c r="F20" s="5">
        <v>46341</v>
      </c>
      <c r="G20" s="15">
        <f t="shared" si="0"/>
        <v>228</v>
      </c>
      <c r="H20" s="20">
        <f t="shared" si="1"/>
        <v>76</v>
      </c>
      <c r="I20" s="6" t="str">
        <f t="shared" si="10"/>
        <v>A</v>
      </c>
      <c r="J20" s="6" t="str">
        <f t="shared" si="11"/>
        <v>No</v>
      </c>
      <c r="K20" s="14" t="str">
        <f t="shared" si="2"/>
        <v>Student</v>
      </c>
      <c r="L20" s="14" t="str">
        <f t="shared" si="3"/>
        <v>STUDENT 19</v>
      </c>
      <c r="M20" s="14" t="str">
        <f t="shared" si="4"/>
        <v>student 19</v>
      </c>
      <c r="N20" s="6" t="e">
        <f>IF(F20&gt;"17-Oct-2026","Not yet enrolled",DATEDIF(F20,"16-Oct-2026","Y"))</f>
        <v>#NUM!</v>
      </c>
      <c r="O20" s="7">
        <f t="shared" si="13"/>
        <v>-30</v>
      </c>
      <c r="P20" s="15">
        <f t="shared" si="6"/>
        <v>76</v>
      </c>
      <c r="Q20" s="15">
        <f t="shared" si="7"/>
        <v>80</v>
      </c>
      <c r="R20" s="15">
        <f t="shared" si="8"/>
        <v>75</v>
      </c>
      <c r="S20" s="15">
        <f t="shared" si="9"/>
        <v>5</v>
      </c>
    </row>
    <row r="21" spans="1:19" x14ac:dyDescent="0.35">
      <c r="A21" s="15">
        <v>1020</v>
      </c>
      <c r="B21" s="14" t="s">
        <v>38</v>
      </c>
      <c r="C21" s="15">
        <v>83</v>
      </c>
      <c r="D21" s="15">
        <v>92</v>
      </c>
      <c r="E21" s="15">
        <v>55</v>
      </c>
      <c r="F21" s="5">
        <v>46521</v>
      </c>
      <c r="G21" s="15">
        <f t="shared" si="0"/>
        <v>230</v>
      </c>
      <c r="H21" s="20">
        <f t="shared" si="1"/>
        <v>76.666666666666671</v>
      </c>
      <c r="I21" s="6" t="str">
        <f t="shared" si="10"/>
        <v>A</v>
      </c>
      <c r="J21" s="6" t="str">
        <f t="shared" si="11"/>
        <v>Yes</v>
      </c>
      <c r="K21" s="14" t="str">
        <f t="shared" si="2"/>
        <v>Student</v>
      </c>
      <c r="L21" s="14" t="str">
        <f t="shared" si="3"/>
        <v>STUDENT 20</v>
      </c>
      <c r="M21" s="14" t="str">
        <f t="shared" si="4"/>
        <v>student 20</v>
      </c>
      <c r="N21" s="6" t="e">
        <f t="shared" si="12"/>
        <v>#NUM!</v>
      </c>
      <c r="O21" s="7">
        <f t="shared" si="13"/>
        <v>-210</v>
      </c>
      <c r="P21" s="15">
        <f t="shared" si="6"/>
        <v>77</v>
      </c>
      <c r="Q21" s="15">
        <f t="shared" si="7"/>
        <v>80</v>
      </c>
      <c r="R21" s="15">
        <f t="shared" si="8"/>
        <v>75</v>
      </c>
      <c r="S21" s="15">
        <f t="shared" si="9"/>
        <v>4</v>
      </c>
    </row>
    <row r="22" spans="1:19" x14ac:dyDescent="0.35">
      <c r="J2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pane xSplit="2" ySplit="1" topLeftCell="H7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4.5" x14ac:dyDescent="0.35"/>
  <cols>
    <col min="1" max="1" width="9.7265625" customWidth="1"/>
    <col min="2" max="4" width="12.7265625" customWidth="1"/>
    <col min="5" max="5" width="11.7265625" customWidth="1"/>
    <col min="6" max="6" width="13.7265625" customWidth="1"/>
    <col min="7" max="7" width="9.7265625" customWidth="1"/>
    <col min="8" max="8" width="12.7265625" customWidth="1"/>
    <col min="9" max="9" width="17.453125" customWidth="1"/>
    <col min="10" max="10" width="12.7265625" customWidth="1"/>
    <col min="11" max="11" width="17.26953125" customWidth="1"/>
    <col min="12" max="12" width="18.26953125" customWidth="1"/>
    <col min="13" max="13" width="17.36328125" customWidth="1"/>
    <col min="14" max="14" width="19.1796875" customWidth="1"/>
    <col min="15" max="15" width="18.81640625" customWidth="1"/>
    <col min="16" max="16" width="13.7265625" customWidth="1"/>
    <col min="17" max="17" width="3.7265625" customWidth="1"/>
    <col min="18" max="18" width="40.7265625" customWidth="1"/>
    <col min="19" max="19" width="14.7265625" customWidth="1"/>
    <col min="20" max="20" width="3.7265625" customWidth="1"/>
    <col min="21" max="23" width="14.7265625" customWidth="1"/>
  </cols>
  <sheetData>
    <row r="1" spans="1:16" ht="30.5" customHeight="1" x14ac:dyDescent="0.3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</row>
    <row r="2" spans="1:16" x14ac:dyDescent="0.35">
      <c r="A2" s="15">
        <v>2001</v>
      </c>
      <c r="B2" s="14" t="s">
        <v>61</v>
      </c>
      <c r="C2" s="14" t="s">
        <v>62</v>
      </c>
      <c r="D2" s="14" t="s">
        <v>63</v>
      </c>
      <c r="E2" s="16">
        <v>7048</v>
      </c>
      <c r="F2" s="13">
        <v>44927</v>
      </c>
      <c r="G2" s="6" t="str">
        <f t="shared" ref="G2:G21" si="0">TEXT(F2,"mmm")</f>
        <v>Jan</v>
      </c>
      <c r="H2" s="17" t="str">
        <f t="shared" ref="H2:H21" si="1">IF(E2&gt;=30000,"15%",IF(E2&gt;=15000,"10%",IF(E2&gt;=10000,"5%",IF(E2&lt;10000,"2%",0))))</f>
        <v>2%</v>
      </c>
      <c r="I2" s="16">
        <f t="shared" ref="I2:I21" si="2">E2*H2</f>
        <v>140.96</v>
      </c>
      <c r="J2" s="16">
        <f t="shared" ref="J2:J21" si="3">E2-I2</f>
        <v>6907.04</v>
      </c>
      <c r="K2" s="6" t="str">
        <f>IF(OR(B2="Keyboard",E2&gt;=35000),"Yes","No")</f>
        <v>Yes</v>
      </c>
      <c r="L2" s="16">
        <f>ROUND(J2,-2)</f>
        <v>6900</v>
      </c>
      <c r="M2" s="16">
        <f t="shared" ref="M2:M21" si="4">CEILING(J2,1000)</f>
        <v>7000</v>
      </c>
      <c r="N2" s="16">
        <f t="shared" ref="N2:N21" si="5">FLOOR(J2,1000)</f>
        <v>6000</v>
      </c>
      <c r="O2" s="18"/>
      <c r="P2" s="3"/>
    </row>
    <row r="3" spans="1:16" x14ac:dyDescent="0.35">
      <c r="A3" s="15">
        <v>2002</v>
      </c>
      <c r="B3" s="14" t="s">
        <v>64</v>
      </c>
      <c r="C3" s="14" t="s">
        <v>65</v>
      </c>
      <c r="D3" s="14" t="s">
        <v>66</v>
      </c>
      <c r="E3" s="16">
        <v>17428</v>
      </c>
      <c r="F3" s="13">
        <v>44942</v>
      </c>
      <c r="G3" s="6" t="str">
        <f t="shared" si="0"/>
        <v>Jan</v>
      </c>
      <c r="H3" s="17" t="str">
        <f t="shared" si="1"/>
        <v>10%</v>
      </c>
      <c r="I3" s="16">
        <f t="shared" si="2"/>
        <v>1742.8000000000002</v>
      </c>
      <c r="J3" s="16">
        <f t="shared" si="3"/>
        <v>15685.2</v>
      </c>
      <c r="K3" s="6" t="str">
        <f t="shared" ref="K3:K21" si="6">IF(OR(B3="Keyboard",E3&gt;=35000),"Yes","No")</f>
        <v>No</v>
      </c>
      <c r="L3" s="16">
        <f t="shared" ref="L3:L21" si="7">ROUND(J3,-2)</f>
        <v>15700</v>
      </c>
      <c r="M3" s="16">
        <f t="shared" si="4"/>
        <v>16000</v>
      </c>
      <c r="N3" s="16">
        <f t="shared" si="5"/>
        <v>15000</v>
      </c>
      <c r="O3" s="19">
        <f ca="1">AVERAGE(OFFSET(E3,-2,0,3,1))</f>
        <v>12238</v>
      </c>
      <c r="P3" s="15">
        <f t="shared" ref="P3:P21" si="8">F3-F2</f>
        <v>15</v>
      </c>
    </row>
    <row r="4" spans="1:16" x14ac:dyDescent="0.35">
      <c r="A4" s="15">
        <v>2003</v>
      </c>
      <c r="B4" s="14" t="s">
        <v>67</v>
      </c>
      <c r="C4" s="14" t="s">
        <v>62</v>
      </c>
      <c r="D4" s="14" t="s">
        <v>68</v>
      </c>
      <c r="E4" s="16">
        <v>23672</v>
      </c>
      <c r="F4" s="13">
        <v>44957</v>
      </c>
      <c r="G4" s="6" t="str">
        <f t="shared" si="0"/>
        <v>Jan</v>
      </c>
      <c r="H4" s="17" t="str">
        <f t="shared" si="1"/>
        <v>10%</v>
      </c>
      <c r="I4" s="16">
        <f t="shared" si="2"/>
        <v>2367.2000000000003</v>
      </c>
      <c r="J4" s="16">
        <f t="shared" si="3"/>
        <v>21304.799999999999</v>
      </c>
      <c r="K4" s="6" t="str">
        <f t="shared" si="6"/>
        <v>No</v>
      </c>
      <c r="L4" s="16">
        <f t="shared" si="7"/>
        <v>21300</v>
      </c>
      <c r="M4" s="16">
        <f t="shared" si="4"/>
        <v>22000</v>
      </c>
      <c r="N4" s="16">
        <f t="shared" si="5"/>
        <v>21000</v>
      </c>
      <c r="O4" s="19">
        <f t="shared" ref="O4:O5" ca="1" si="9">AVERAGE(OFFSET(E4,-2,0,3,1))</f>
        <v>16049.333333333334</v>
      </c>
      <c r="P4" s="15">
        <f t="shared" si="8"/>
        <v>15</v>
      </c>
    </row>
    <row r="5" spans="1:16" x14ac:dyDescent="0.35">
      <c r="A5" s="15">
        <v>2004</v>
      </c>
      <c r="B5" s="14" t="s">
        <v>64</v>
      </c>
      <c r="C5" s="14" t="s">
        <v>69</v>
      </c>
      <c r="D5" s="14" t="s">
        <v>70</v>
      </c>
      <c r="E5" s="16">
        <v>5264</v>
      </c>
      <c r="F5" s="13">
        <v>44972</v>
      </c>
      <c r="G5" s="6" t="str">
        <f t="shared" si="0"/>
        <v>Feb</v>
      </c>
      <c r="H5" s="17" t="str">
        <f t="shared" si="1"/>
        <v>2%</v>
      </c>
      <c r="I5" s="16">
        <f t="shared" si="2"/>
        <v>105.28</v>
      </c>
      <c r="J5" s="16">
        <f t="shared" si="3"/>
        <v>5158.72</v>
      </c>
      <c r="K5" s="6" t="str">
        <f t="shared" si="6"/>
        <v>No</v>
      </c>
      <c r="L5" s="16">
        <f t="shared" si="7"/>
        <v>5200</v>
      </c>
      <c r="M5" s="16">
        <f t="shared" si="4"/>
        <v>6000</v>
      </c>
      <c r="N5" s="16">
        <f t="shared" si="5"/>
        <v>5000</v>
      </c>
      <c r="O5" s="19">
        <f t="shared" ca="1" si="9"/>
        <v>15454.666666666666</v>
      </c>
      <c r="P5" s="15">
        <f t="shared" si="8"/>
        <v>15</v>
      </c>
    </row>
    <row r="6" spans="1:16" x14ac:dyDescent="0.35">
      <c r="A6" s="15">
        <v>2005</v>
      </c>
      <c r="B6" s="14" t="s">
        <v>61</v>
      </c>
      <c r="C6" s="14" t="s">
        <v>71</v>
      </c>
      <c r="D6" s="14" t="s">
        <v>72</v>
      </c>
      <c r="E6" s="16">
        <v>43388</v>
      </c>
      <c r="F6" s="13">
        <v>44987</v>
      </c>
      <c r="G6" s="6" t="str">
        <f t="shared" si="0"/>
        <v>Mar</v>
      </c>
      <c r="H6" s="17" t="str">
        <f t="shared" si="1"/>
        <v>15%</v>
      </c>
      <c r="I6" s="16">
        <f t="shared" si="2"/>
        <v>6508.2</v>
      </c>
      <c r="J6" s="16">
        <f t="shared" si="3"/>
        <v>36879.800000000003</v>
      </c>
      <c r="K6" s="6" t="str">
        <f t="shared" si="6"/>
        <v>Yes</v>
      </c>
      <c r="L6" s="16">
        <f t="shared" si="7"/>
        <v>36900</v>
      </c>
      <c r="M6" s="16">
        <f t="shared" si="4"/>
        <v>37000</v>
      </c>
      <c r="N6" s="16">
        <f t="shared" si="5"/>
        <v>36000</v>
      </c>
      <c r="O6" s="19">
        <f ca="1">AVERAGE(OFFSET(E6,-2,0,3,1))</f>
        <v>24108</v>
      </c>
      <c r="P6" s="15">
        <f t="shared" si="8"/>
        <v>15</v>
      </c>
    </row>
    <row r="7" spans="1:16" x14ac:dyDescent="0.35">
      <c r="A7" s="15">
        <v>2006</v>
      </c>
      <c r="B7" s="14" t="s">
        <v>67</v>
      </c>
      <c r="C7" s="14" t="s">
        <v>71</v>
      </c>
      <c r="D7" s="14" t="s">
        <v>73</v>
      </c>
      <c r="E7" s="16">
        <v>19757</v>
      </c>
      <c r="F7" s="13">
        <v>45002</v>
      </c>
      <c r="G7" s="6" t="str">
        <f t="shared" si="0"/>
        <v>Mar</v>
      </c>
      <c r="H7" s="17" t="str">
        <f t="shared" si="1"/>
        <v>10%</v>
      </c>
      <c r="I7" s="16">
        <f t="shared" si="2"/>
        <v>1975.7</v>
      </c>
      <c r="J7" s="16">
        <f t="shared" si="3"/>
        <v>17781.3</v>
      </c>
      <c r="K7" s="6" t="str">
        <f t="shared" si="6"/>
        <v>No</v>
      </c>
      <c r="L7" s="16">
        <f t="shared" si="7"/>
        <v>17800</v>
      </c>
      <c r="M7" s="16">
        <f t="shared" si="4"/>
        <v>18000</v>
      </c>
      <c r="N7" s="16">
        <f t="shared" si="5"/>
        <v>17000</v>
      </c>
      <c r="O7" s="19">
        <f t="shared" ref="O7:O21" ca="1" si="10">AVERAGE(OFFSET(E7,-2,0,3,1))</f>
        <v>22803</v>
      </c>
      <c r="P7" s="15">
        <f t="shared" si="8"/>
        <v>15</v>
      </c>
    </row>
    <row r="8" spans="1:16" x14ac:dyDescent="0.35">
      <c r="A8" s="15">
        <v>2007</v>
      </c>
      <c r="B8" s="14" t="s">
        <v>67</v>
      </c>
      <c r="C8" s="14" t="s">
        <v>69</v>
      </c>
      <c r="D8" s="14" t="s">
        <v>74</v>
      </c>
      <c r="E8" s="16">
        <v>32058</v>
      </c>
      <c r="F8" s="13">
        <v>45017</v>
      </c>
      <c r="G8" s="6" t="str">
        <f t="shared" si="0"/>
        <v>Apr</v>
      </c>
      <c r="H8" s="17" t="str">
        <f t="shared" si="1"/>
        <v>15%</v>
      </c>
      <c r="I8" s="16">
        <f t="shared" si="2"/>
        <v>4808.7</v>
      </c>
      <c r="J8" s="16">
        <f t="shared" si="3"/>
        <v>27249.3</v>
      </c>
      <c r="K8" s="6" t="str">
        <f t="shared" si="6"/>
        <v>No</v>
      </c>
      <c r="L8" s="16">
        <f t="shared" si="7"/>
        <v>27200</v>
      </c>
      <c r="M8" s="16">
        <f t="shared" si="4"/>
        <v>28000</v>
      </c>
      <c r="N8" s="16">
        <f t="shared" si="5"/>
        <v>27000</v>
      </c>
      <c r="O8" s="19">
        <f t="shared" ca="1" si="10"/>
        <v>31734.333333333332</v>
      </c>
      <c r="P8" s="15">
        <f t="shared" si="8"/>
        <v>15</v>
      </c>
    </row>
    <row r="9" spans="1:16" ht="17" customHeight="1" x14ac:dyDescent="0.35">
      <c r="A9" s="15">
        <v>2008</v>
      </c>
      <c r="B9" s="14" t="s">
        <v>61</v>
      </c>
      <c r="C9" s="14" t="s">
        <v>69</v>
      </c>
      <c r="D9" s="14" t="s">
        <v>75</v>
      </c>
      <c r="E9" s="16">
        <v>46429</v>
      </c>
      <c r="F9" s="13">
        <v>45032</v>
      </c>
      <c r="G9" s="6" t="str">
        <f t="shared" si="0"/>
        <v>Apr</v>
      </c>
      <c r="H9" s="17" t="str">
        <f t="shared" si="1"/>
        <v>15%</v>
      </c>
      <c r="I9" s="16">
        <f t="shared" si="2"/>
        <v>6964.3499999999995</v>
      </c>
      <c r="J9" s="16">
        <f t="shared" si="3"/>
        <v>39464.65</v>
      </c>
      <c r="K9" s="6" t="str">
        <f t="shared" si="6"/>
        <v>Yes</v>
      </c>
      <c r="L9" s="16">
        <f t="shared" si="7"/>
        <v>39500</v>
      </c>
      <c r="M9" s="16">
        <f t="shared" si="4"/>
        <v>40000</v>
      </c>
      <c r="N9" s="16">
        <f t="shared" si="5"/>
        <v>39000</v>
      </c>
      <c r="O9" s="19">
        <f t="shared" ca="1" si="10"/>
        <v>32748</v>
      </c>
      <c r="P9" s="15">
        <f t="shared" si="8"/>
        <v>15</v>
      </c>
    </row>
    <row r="10" spans="1:16" x14ac:dyDescent="0.35">
      <c r="A10" s="15">
        <v>2009</v>
      </c>
      <c r="B10" s="14" t="s">
        <v>64</v>
      </c>
      <c r="C10" s="14" t="s">
        <v>69</v>
      </c>
      <c r="D10" s="14" t="s">
        <v>76</v>
      </c>
      <c r="E10" s="16">
        <v>19746</v>
      </c>
      <c r="F10" s="13">
        <v>45047</v>
      </c>
      <c r="G10" s="6" t="str">
        <f t="shared" si="0"/>
        <v>May</v>
      </c>
      <c r="H10" s="17" t="str">
        <f t="shared" si="1"/>
        <v>10%</v>
      </c>
      <c r="I10" s="16">
        <f t="shared" si="2"/>
        <v>1974.6000000000001</v>
      </c>
      <c r="J10" s="16">
        <f t="shared" si="3"/>
        <v>17771.400000000001</v>
      </c>
      <c r="K10" s="6" t="str">
        <f t="shared" si="6"/>
        <v>No</v>
      </c>
      <c r="L10" s="16">
        <f t="shared" si="7"/>
        <v>17800</v>
      </c>
      <c r="M10" s="16">
        <f t="shared" si="4"/>
        <v>18000</v>
      </c>
      <c r="N10" s="16">
        <f t="shared" si="5"/>
        <v>17000</v>
      </c>
      <c r="O10" s="19">
        <f t="shared" ca="1" si="10"/>
        <v>32744.333333333332</v>
      </c>
      <c r="P10" s="15">
        <f t="shared" si="8"/>
        <v>15</v>
      </c>
    </row>
    <row r="11" spans="1:16" x14ac:dyDescent="0.35">
      <c r="A11" s="15">
        <v>2010</v>
      </c>
      <c r="B11" s="14" t="s">
        <v>61</v>
      </c>
      <c r="C11" s="14" t="s">
        <v>62</v>
      </c>
      <c r="D11" s="14" t="s">
        <v>77</v>
      </c>
      <c r="E11" s="16">
        <v>35185</v>
      </c>
      <c r="F11" s="13">
        <v>45062</v>
      </c>
      <c r="G11" s="6" t="str">
        <f t="shared" si="0"/>
        <v>May</v>
      </c>
      <c r="H11" s="17" t="str">
        <f t="shared" si="1"/>
        <v>15%</v>
      </c>
      <c r="I11" s="16">
        <f t="shared" si="2"/>
        <v>5277.75</v>
      </c>
      <c r="J11" s="16">
        <f t="shared" si="3"/>
        <v>29907.25</v>
      </c>
      <c r="K11" s="6" t="str">
        <f t="shared" si="6"/>
        <v>Yes</v>
      </c>
      <c r="L11" s="16">
        <f t="shared" si="7"/>
        <v>29900</v>
      </c>
      <c r="M11" s="16">
        <f t="shared" si="4"/>
        <v>30000</v>
      </c>
      <c r="N11" s="16">
        <f t="shared" si="5"/>
        <v>29000</v>
      </c>
      <c r="O11" s="19">
        <f t="shared" ca="1" si="10"/>
        <v>33786.666666666664</v>
      </c>
      <c r="P11" s="15">
        <f t="shared" si="8"/>
        <v>15</v>
      </c>
    </row>
    <row r="12" spans="1:16" x14ac:dyDescent="0.35">
      <c r="A12" s="15">
        <v>2011</v>
      </c>
      <c r="B12" s="14" t="s">
        <v>61</v>
      </c>
      <c r="C12" s="14" t="s">
        <v>69</v>
      </c>
      <c r="D12" s="14" t="s">
        <v>78</v>
      </c>
      <c r="E12" s="16">
        <v>33920</v>
      </c>
      <c r="F12" s="13">
        <v>45077</v>
      </c>
      <c r="G12" s="6" t="str">
        <f t="shared" si="0"/>
        <v>May</v>
      </c>
      <c r="H12" s="17" t="str">
        <f t="shared" si="1"/>
        <v>15%</v>
      </c>
      <c r="I12" s="16">
        <f t="shared" si="2"/>
        <v>5088</v>
      </c>
      <c r="J12" s="16">
        <f t="shared" si="3"/>
        <v>28832</v>
      </c>
      <c r="K12" s="6" t="str">
        <f t="shared" si="6"/>
        <v>Yes</v>
      </c>
      <c r="L12" s="16">
        <f t="shared" si="7"/>
        <v>28800</v>
      </c>
      <c r="M12" s="16">
        <f t="shared" si="4"/>
        <v>29000</v>
      </c>
      <c r="N12" s="16">
        <f t="shared" si="5"/>
        <v>28000</v>
      </c>
      <c r="O12" s="19">
        <f t="shared" ca="1" si="10"/>
        <v>29617</v>
      </c>
      <c r="P12" s="15">
        <f t="shared" si="8"/>
        <v>15</v>
      </c>
    </row>
    <row r="13" spans="1:16" x14ac:dyDescent="0.35">
      <c r="A13" s="15">
        <v>2012</v>
      </c>
      <c r="B13" s="14" t="s">
        <v>79</v>
      </c>
      <c r="C13" s="14" t="s">
        <v>71</v>
      </c>
      <c r="D13" s="14" t="s">
        <v>80</v>
      </c>
      <c r="E13" s="16">
        <v>35611</v>
      </c>
      <c r="F13" s="13">
        <v>45092</v>
      </c>
      <c r="G13" s="6" t="str">
        <f t="shared" si="0"/>
        <v>Jun</v>
      </c>
      <c r="H13" s="17" t="str">
        <f t="shared" si="1"/>
        <v>15%</v>
      </c>
      <c r="I13" s="16">
        <f t="shared" si="2"/>
        <v>5341.65</v>
      </c>
      <c r="J13" s="16">
        <f t="shared" si="3"/>
        <v>30269.35</v>
      </c>
      <c r="K13" s="6" t="str">
        <f t="shared" si="6"/>
        <v>Yes</v>
      </c>
      <c r="L13" s="16">
        <f t="shared" si="7"/>
        <v>30300</v>
      </c>
      <c r="M13" s="16">
        <f t="shared" si="4"/>
        <v>31000</v>
      </c>
      <c r="N13" s="16">
        <f t="shared" si="5"/>
        <v>30000</v>
      </c>
      <c r="O13" s="19">
        <f t="shared" ca="1" si="10"/>
        <v>34905.333333333336</v>
      </c>
      <c r="P13" s="15">
        <f t="shared" si="8"/>
        <v>15</v>
      </c>
    </row>
    <row r="14" spans="1:16" x14ac:dyDescent="0.35">
      <c r="A14" s="15">
        <v>2013</v>
      </c>
      <c r="B14" s="14" t="s">
        <v>81</v>
      </c>
      <c r="C14" s="14" t="s">
        <v>69</v>
      </c>
      <c r="D14" s="14" t="s">
        <v>82</v>
      </c>
      <c r="E14" s="16">
        <v>15560</v>
      </c>
      <c r="F14" s="13">
        <v>45107</v>
      </c>
      <c r="G14" s="6" t="str">
        <f t="shared" si="0"/>
        <v>Jun</v>
      </c>
      <c r="H14" s="17" t="str">
        <f t="shared" si="1"/>
        <v>10%</v>
      </c>
      <c r="I14" s="16">
        <f t="shared" si="2"/>
        <v>1556</v>
      </c>
      <c r="J14" s="16">
        <f t="shared" si="3"/>
        <v>14004</v>
      </c>
      <c r="K14" s="6" t="str">
        <f t="shared" si="6"/>
        <v>No</v>
      </c>
      <c r="L14" s="16">
        <f t="shared" si="7"/>
        <v>14000</v>
      </c>
      <c r="M14" s="16">
        <f t="shared" si="4"/>
        <v>15000</v>
      </c>
      <c r="N14" s="16">
        <f t="shared" si="5"/>
        <v>14000</v>
      </c>
      <c r="O14" s="19">
        <f t="shared" ca="1" si="10"/>
        <v>28363.666666666668</v>
      </c>
      <c r="P14" s="15">
        <f t="shared" si="8"/>
        <v>15</v>
      </c>
    </row>
    <row r="15" spans="1:16" x14ac:dyDescent="0.35">
      <c r="A15" s="15">
        <v>2014</v>
      </c>
      <c r="B15" s="14" t="s">
        <v>81</v>
      </c>
      <c r="C15" s="14" t="s">
        <v>62</v>
      </c>
      <c r="D15" s="14" t="s">
        <v>83</v>
      </c>
      <c r="E15" s="16">
        <v>7283</v>
      </c>
      <c r="F15" s="13">
        <v>45122</v>
      </c>
      <c r="G15" s="6" t="str">
        <f t="shared" si="0"/>
        <v>Jul</v>
      </c>
      <c r="H15" s="17" t="str">
        <f t="shared" si="1"/>
        <v>2%</v>
      </c>
      <c r="I15" s="16">
        <f t="shared" si="2"/>
        <v>145.66</v>
      </c>
      <c r="J15" s="16">
        <f t="shared" si="3"/>
        <v>7137.34</v>
      </c>
      <c r="K15" s="6" t="str">
        <f t="shared" si="6"/>
        <v>No</v>
      </c>
      <c r="L15" s="16">
        <f t="shared" si="7"/>
        <v>7100</v>
      </c>
      <c r="M15" s="16">
        <f t="shared" si="4"/>
        <v>8000</v>
      </c>
      <c r="N15" s="16">
        <f t="shared" si="5"/>
        <v>7000</v>
      </c>
      <c r="O15" s="19">
        <f t="shared" ca="1" si="10"/>
        <v>19484.666666666668</v>
      </c>
      <c r="P15" s="15">
        <f t="shared" si="8"/>
        <v>15</v>
      </c>
    </row>
    <row r="16" spans="1:16" x14ac:dyDescent="0.35">
      <c r="A16" s="15">
        <v>2015</v>
      </c>
      <c r="B16" s="14" t="s">
        <v>81</v>
      </c>
      <c r="C16" s="14" t="s">
        <v>69</v>
      </c>
      <c r="D16" s="14" t="s">
        <v>84</v>
      </c>
      <c r="E16" s="16">
        <v>15678</v>
      </c>
      <c r="F16" s="13">
        <v>45137</v>
      </c>
      <c r="G16" s="6" t="str">
        <f t="shared" si="0"/>
        <v>Jul</v>
      </c>
      <c r="H16" s="17" t="str">
        <f t="shared" si="1"/>
        <v>10%</v>
      </c>
      <c r="I16" s="16">
        <f t="shared" si="2"/>
        <v>1567.8000000000002</v>
      </c>
      <c r="J16" s="16">
        <f t="shared" si="3"/>
        <v>14110.2</v>
      </c>
      <c r="K16" s="6" t="str">
        <f t="shared" si="6"/>
        <v>No</v>
      </c>
      <c r="L16" s="16">
        <f t="shared" si="7"/>
        <v>14100</v>
      </c>
      <c r="M16" s="16">
        <f t="shared" si="4"/>
        <v>15000</v>
      </c>
      <c r="N16" s="16">
        <f t="shared" si="5"/>
        <v>14000</v>
      </c>
      <c r="O16" s="19">
        <f t="shared" ca="1" si="10"/>
        <v>12840.333333333334</v>
      </c>
      <c r="P16" s="15">
        <f t="shared" si="8"/>
        <v>15</v>
      </c>
    </row>
    <row r="17" spans="1:16" x14ac:dyDescent="0.35">
      <c r="A17" s="15">
        <v>2016</v>
      </c>
      <c r="B17" s="14" t="s">
        <v>67</v>
      </c>
      <c r="C17" s="14" t="s">
        <v>69</v>
      </c>
      <c r="D17" s="14" t="s">
        <v>85</v>
      </c>
      <c r="E17" s="16">
        <v>5277</v>
      </c>
      <c r="F17" s="13">
        <v>45152</v>
      </c>
      <c r="G17" s="6" t="str">
        <f t="shared" si="0"/>
        <v>Aug</v>
      </c>
      <c r="H17" s="17" t="str">
        <f t="shared" si="1"/>
        <v>2%</v>
      </c>
      <c r="I17" s="16">
        <f t="shared" si="2"/>
        <v>105.54</v>
      </c>
      <c r="J17" s="16">
        <f t="shared" si="3"/>
        <v>5171.46</v>
      </c>
      <c r="K17" s="6" t="str">
        <f t="shared" si="6"/>
        <v>No</v>
      </c>
      <c r="L17" s="16">
        <f t="shared" si="7"/>
        <v>5200</v>
      </c>
      <c r="M17" s="16">
        <f t="shared" si="4"/>
        <v>6000</v>
      </c>
      <c r="N17" s="16">
        <f t="shared" si="5"/>
        <v>5000</v>
      </c>
      <c r="O17" s="19">
        <f t="shared" ca="1" si="10"/>
        <v>9412.6666666666661</v>
      </c>
      <c r="P17" s="15">
        <f t="shared" si="8"/>
        <v>15</v>
      </c>
    </row>
    <row r="18" spans="1:16" x14ac:dyDescent="0.35">
      <c r="A18" s="15">
        <v>2017</v>
      </c>
      <c r="B18" s="14" t="s">
        <v>79</v>
      </c>
      <c r="C18" s="14" t="s">
        <v>71</v>
      </c>
      <c r="D18" s="14" t="s">
        <v>86</v>
      </c>
      <c r="E18" s="16">
        <v>41871</v>
      </c>
      <c r="F18" s="13">
        <v>45167</v>
      </c>
      <c r="G18" s="6" t="str">
        <f t="shared" si="0"/>
        <v>Aug</v>
      </c>
      <c r="H18" s="17" t="str">
        <f t="shared" si="1"/>
        <v>15%</v>
      </c>
      <c r="I18" s="16">
        <f t="shared" si="2"/>
        <v>6280.65</v>
      </c>
      <c r="J18" s="16">
        <f t="shared" si="3"/>
        <v>35590.35</v>
      </c>
      <c r="K18" s="6" t="str">
        <f t="shared" si="6"/>
        <v>Yes</v>
      </c>
      <c r="L18" s="16">
        <f t="shared" si="7"/>
        <v>35600</v>
      </c>
      <c r="M18" s="16">
        <f t="shared" si="4"/>
        <v>36000</v>
      </c>
      <c r="N18" s="16">
        <f t="shared" si="5"/>
        <v>35000</v>
      </c>
      <c r="O18" s="19">
        <f t="shared" ca="1" si="10"/>
        <v>20942</v>
      </c>
      <c r="P18" s="15">
        <f t="shared" si="8"/>
        <v>15</v>
      </c>
    </row>
    <row r="19" spans="1:16" x14ac:dyDescent="0.35">
      <c r="A19" s="15">
        <v>2018</v>
      </c>
      <c r="B19" s="14" t="s">
        <v>79</v>
      </c>
      <c r="C19" s="14" t="s">
        <v>65</v>
      </c>
      <c r="D19" s="14" t="s">
        <v>87</v>
      </c>
      <c r="E19" s="16">
        <v>38161</v>
      </c>
      <c r="F19" s="13">
        <v>45182</v>
      </c>
      <c r="G19" s="6" t="str">
        <f t="shared" si="0"/>
        <v>Sep</v>
      </c>
      <c r="H19" s="17" t="str">
        <f t="shared" si="1"/>
        <v>15%</v>
      </c>
      <c r="I19" s="16">
        <f t="shared" si="2"/>
        <v>5724.15</v>
      </c>
      <c r="J19" s="16">
        <f t="shared" si="3"/>
        <v>32436.85</v>
      </c>
      <c r="K19" s="6" t="str">
        <f t="shared" si="6"/>
        <v>Yes</v>
      </c>
      <c r="L19" s="16">
        <f t="shared" si="7"/>
        <v>32400</v>
      </c>
      <c r="M19" s="16">
        <f t="shared" si="4"/>
        <v>33000</v>
      </c>
      <c r="N19" s="16">
        <f t="shared" si="5"/>
        <v>32000</v>
      </c>
      <c r="O19" s="19">
        <f t="shared" ca="1" si="10"/>
        <v>28436.333333333332</v>
      </c>
      <c r="P19" s="15">
        <f t="shared" si="8"/>
        <v>15</v>
      </c>
    </row>
    <row r="20" spans="1:16" x14ac:dyDescent="0.35">
      <c r="A20" s="15">
        <v>2019</v>
      </c>
      <c r="B20" s="14" t="s">
        <v>67</v>
      </c>
      <c r="C20" s="14" t="s">
        <v>65</v>
      </c>
      <c r="D20" s="14" t="s">
        <v>88</v>
      </c>
      <c r="E20" s="16">
        <v>30436</v>
      </c>
      <c r="F20" s="13">
        <v>45197</v>
      </c>
      <c r="G20" s="6" t="str">
        <f t="shared" si="0"/>
        <v>Sep</v>
      </c>
      <c r="H20" s="17" t="str">
        <f t="shared" si="1"/>
        <v>15%</v>
      </c>
      <c r="I20" s="16">
        <f t="shared" si="2"/>
        <v>4565.3999999999996</v>
      </c>
      <c r="J20" s="16">
        <f t="shared" si="3"/>
        <v>25870.6</v>
      </c>
      <c r="K20" s="6" t="str">
        <f t="shared" si="6"/>
        <v>No</v>
      </c>
      <c r="L20" s="16">
        <f t="shared" si="7"/>
        <v>25900</v>
      </c>
      <c r="M20" s="16">
        <f t="shared" si="4"/>
        <v>26000</v>
      </c>
      <c r="N20" s="16">
        <f t="shared" si="5"/>
        <v>25000</v>
      </c>
      <c r="O20" s="19">
        <f t="shared" ca="1" si="10"/>
        <v>36822.666666666664</v>
      </c>
      <c r="P20" s="15">
        <f t="shared" si="8"/>
        <v>15</v>
      </c>
    </row>
    <row r="21" spans="1:16" x14ac:dyDescent="0.35">
      <c r="A21" s="15">
        <v>2020</v>
      </c>
      <c r="B21" s="14" t="s">
        <v>64</v>
      </c>
      <c r="C21" s="14" t="s">
        <v>65</v>
      </c>
      <c r="D21" s="14" t="s">
        <v>89</v>
      </c>
      <c r="E21" s="16">
        <v>33953</v>
      </c>
      <c r="F21" s="13">
        <v>45212</v>
      </c>
      <c r="G21" s="6" t="str">
        <f t="shared" si="0"/>
        <v>Oct</v>
      </c>
      <c r="H21" s="17" t="str">
        <f t="shared" si="1"/>
        <v>15%</v>
      </c>
      <c r="I21" s="16">
        <f t="shared" si="2"/>
        <v>5092.95</v>
      </c>
      <c r="J21" s="16">
        <f t="shared" si="3"/>
        <v>28860.05</v>
      </c>
      <c r="K21" s="6" t="str">
        <f t="shared" si="6"/>
        <v>No</v>
      </c>
      <c r="L21" s="16">
        <f t="shared" si="7"/>
        <v>28900</v>
      </c>
      <c r="M21" s="16">
        <f t="shared" si="4"/>
        <v>29000</v>
      </c>
      <c r="N21" s="16">
        <f t="shared" si="5"/>
        <v>28000</v>
      </c>
      <c r="O21" s="19">
        <f t="shared" ca="1" si="10"/>
        <v>34183.333333333336</v>
      </c>
      <c r="P21" s="15">
        <f t="shared" si="8"/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pane xSplit="2" ySplit="1" topLeftCell="E11" activePane="bottomRight" state="frozen"/>
      <selection pane="topRight" activeCell="C1" sqref="C1"/>
      <selection pane="bottomLeft" activeCell="A2" sqref="A2"/>
      <selection pane="bottomRight" activeCell="F22" sqref="F22"/>
    </sheetView>
  </sheetViews>
  <sheetFormatPr defaultRowHeight="14.5" x14ac:dyDescent="0.35"/>
  <cols>
    <col min="1" max="1" width="11.7265625" customWidth="1"/>
    <col min="2" max="2" width="13.7265625" customWidth="1"/>
    <col min="3" max="3" width="12.7265625" customWidth="1"/>
    <col min="4" max="4" width="11.7265625" customWidth="1"/>
    <col min="5" max="5" width="13.7265625" customWidth="1"/>
    <col min="6" max="7" width="11.7265625" customWidth="1"/>
    <col min="8" max="8" width="18.7265625" customWidth="1"/>
    <col min="9" max="10" width="13.7265625" customWidth="1"/>
    <col min="11" max="11" width="12.7265625" customWidth="1"/>
    <col min="12" max="12" width="14.7265625" customWidth="1"/>
    <col min="13" max="13" width="17" customWidth="1"/>
    <col min="14" max="15" width="13.7265625" customWidth="1"/>
    <col min="16" max="17" width="3.7265625" customWidth="1"/>
    <col min="18" max="18" width="42.7265625" customWidth="1"/>
    <col min="19" max="19" width="15.7265625" customWidth="1"/>
    <col min="20" max="22" width="14.7265625" customWidth="1"/>
  </cols>
  <sheetData>
    <row r="1" spans="1:15" ht="45" customHeight="1" x14ac:dyDescent="0.35">
      <c r="A1" s="2" t="s">
        <v>90</v>
      </c>
      <c r="B1" s="2" t="s">
        <v>1</v>
      </c>
      <c r="C1" s="2" t="s">
        <v>91</v>
      </c>
      <c r="D1" s="2" t="s">
        <v>92</v>
      </c>
      <c r="E1" s="2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100</v>
      </c>
      <c r="M1" s="4" t="s">
        <v>11</v>
      </c>
      <c r="N1" s="4" t="s">
        <v>101</v>
      </c>
      <c r="O1" s="4" t="s">
        <v>102</v>
      </c>
    </row>
    <row r="2" spans="1:15" x14ac:dyDescent="0.35">
      <c r="A2" s="15">
        <v>3001</v>
      </c>
      <c r="B2" s="14" t="s">
        <v>103</v>
      </c>
      <c r="C2" s="14" t="s">
        <v>104</v>
      </c>
      <c r="D2" s="16">
        <v>86766</v>
      </c>
      <c r="E2" s="13">
        <v>42005</v>
      </c>
      <c r="F2" s="14" t="str">
        <f t="shared" ref="F2:F21" si="0">IF(E2&gt;$S$10,"Upcoming","Active")</f>
        <v>Upcoming</v>
      </c>
      <c r="G2" s="21">
        <f t="shared" ref="G2:G3" si="1">IF(E2&gt;$S$10,0,ROUND(YEARFRAC(E2,$S$10,1),1))</f>
        <v>0</v>
      </c>
      <c r="H2" s="14" t="str">
        <f t="shared" ref="H2:H21" si="2">TEXT(E2,"dd mmmm yyyy")</f>
        <v>01 January 2015</v>
      </c>
      <c r="I2" s="14" t="str">
        <f t="shared" ref="I2:I21" si="3">TEXT(E2,"dddd")</f>
        <v>Thursday</v>
      </c>
      <c r="J2" s="14" t="str">
        <f>IF(D2&gt;=100000,"High",IF(D2&gt;=60000,"Mid","Entry"))</f>
        <v>Mid</v>
      </c>
      <c r="K2" s="16">
        <f>D2*10%</f>
        <v>8676.6</v>
      </c>
      <c r="L2" s="16">
        <f t="shared" ref="L2:L21" si="4">ROUND(K2,-2)</f>
        <v>8700</v>
      </c>
      <c r="M2" s="14" t="str">
        <f t="shared" ref="M2:M21" si="5">UPPER(B2)</f>
        <v>EMPLOYEE 1</v>
      </c>
      <c r="N2" s="22" t="str">
        <f t="shared" ref="N2:N3" si="6">IF(E2&gt;$S$10,"Upcoming",$S$10-E2)</f>
        <v>Upcoming</v>
      </c>
      <c r="O2" s="14" t="str">
        <f>IF(AND(G2&gt;=5,OR(C2="IT",C2="Finance")),"Yes","No")</f>
        <v>No</v>
      </c>
    </row>
    <row r="3" spans="1:15" x14ac:dyDescent="0.35">
      <c r="A3" s="15">
        <v>3002</v>
      </c>
      <c r="B3" s="14" t="s">
        <v>105</v>
      </c>
      <c r="C3" s="14" t="s">
        <v>104</v>
      </c>
      <c r="D3" s="16">
        <v>31943</v>
      </c>
      <c r="E3" s="13">
        <v>42255</v>
      </c>
      <c r="F3" s="14" t="str">
        <f t="shared" si="0"/>
        <v>Upcoming</v>
      </c>
      <c r="G3" s="21">
        <f t="shared" si="1"/>
        <v>0</v>
      </c>
      <c r="H3" s="14" t="str">
        <f t="shared" si="2"/>
        <v>08 September 2015</v>
      </c>
      <c r="I3" s="14" t="str">
        <f t="shared" si="3"/>
        <v>Tuesday</v>
      </c>
      <c r="J3" s="14" t="str">
        <f t="shared" ref="J3:J21" si="7">IF(D3&gt;=100000,"High",IF(D3&gt;=60000,"Mid","Entry"))</f>
        <v>Entry</v>
      </c>
      <c r="K3" s="16">
        <f t="shared" ref="K3:K21" si="8">D3*10%</f>
        <v>3194.3</v>
      </c>
      <c r="L3" s="16">
        <f t="shared" si="4"/>
        <v>3200</v>
      </c>
      <c r="M3" s="14" t="str">
        <f t="shared" si="5"/>
        <v>EMPLOYEE 2</v>
      </c>
      <c r="N3" s="22" t="str">
        <f t="shared" si="6"/>
        <v>Upcoming</v>
      </c>
      <c r="O3" s="14" t="str">
        <f t="shared" ref="O3:O21" si="9">IF(AND(G3&gt;=5,OR(C3="IT",C3="Finance")),"Yes","No")</f>
        <v>No</v>
      </c>
    </row>
    <row r="4" spans="1:15" x14ac:dyDescent="0.35">
      <c r="A4" s="15">
        <v>3003</v>
      </c>
      <c r="B4" s="14" t="s">
        <v>106</v>
      </c>
      <c r="C4" s="14" t="s">
        <v>107</v>
      </c>
      <c r="D4" s="16">
        <v>63374</v>
      </c>
      <c r="E4" s="13">
        <v>42505</v>
      </c>
      <c r="F4" s="14" t="str">
        <f>IF(E4&gt;"17-Oct-2026","Upcoming","Active")</f>
        <v>Active</v>
      </c>
      <c r="G4" s="21">
        <f>IF(E4&gt;"17-Oct-2026",0,ROUND(YEARFRAC(E4,"17-Oct-2026",1),1))</f>
        <v>10.4</v>
      </c>
      <c r="H4" s="14" t="str">
        <f t="shared" si="2"/>
        <v>15 May 2016</v>
      </c>
      <c r="I4" s="14" t="str">
        <f t="shared" si="3"/>
        <v>Sunday</v>
      </c>
      <c r="J4" s="14" t="str">
        <f t="shared" si="7"/>
        <v>Mid</v>
      </c>
      <c r="K4" s="16">
        <f t="shared" si="8"/>
        <v>6337.4000000000005</v>
      </c>
      <c r="L4" s="16">
        <f t="shared" si="4"/>
        <v>6300</v>
      </c>
      <c r="M4" s="14" t="str">
        <f t="shared" si="5"/>
        <v>EMPLOYEE 3</v>
      </c>
      <c r="N4" s="22">
        <f>IF(E4&gt;"17-Oct-2026","Upcoming","17-Oct-2026"-E4)</f>
        <v>3807</v>
      </c>
      <c r="O4" s="14" t="str">
        <f t="shared" si="9"/>
        <v>No</v>
      </c>
    </row>
    <row r="5" spans="1:15" x14ac:dyDescent="0.35">
      <c r="A5" s="15">
        <v>3004</v>
      </c>
      <c r="B5" s="14" t="s">
        <v>108</v>
      </c>
      <c r="C5" s="14" t="s">
        <v>104</v>
      </c>
      <c r="D5" s="16">
        <v>109972</v>
      </c>
      <c r="E5" s="13">
        <v>42755</v>
      </c>
      <c r="F5" s="14" t="str">
        <f t="shared" ref="F5:F19" si="10">IF(E5&gt;"17-Oct-2026","Upcoming","Active")</f>
        <v>Active</v>
      </c>
      <c r="G5" s="21">
        <f t="shared" ref="G5:G21" si="11">IF(E5&gt;"17-Oct-2026",0,ROUND(YEARFRAC(E5,"17-Oct-2026",1),1))</f>
        <v>9.6999999999999993</v>
      </c>
      <c r="H5" s="14" t="str">
        <f t="shared" si="2"/>
        <v>20 January 2017</v>
      </c>
      <c r="I5" s="14" t="str">
        <f t="shared" si="3"/>
        <v>Friday</v>
      </c>
      <c r="J5" s="14" t="str">
        <f t="shared" si="7"/>
        <v>High</v>
      </c>
      <c r="K5" s="16">
        <f t="shared" si="8"/>
        <v>10997.2</v>
      </c>
      <c r="L5" s="16">
        <f t="shared" si="4"/>
        <v>11000</v>
      </c>
      <c r="M5" s="14" t="str">
        <f t="shared" si="5"/>
        <v>EMPLOYEE 4</v>
      </c>
      <c r="N5" s="22">
        <f t="shared" ref="N5:N19" si="12">IF(E5&gt;"17-Oct-2026","Upcoming","17-Oct-2026"-E5)</f>
        <v>3557</v>
      </c>
      <c r="O5" s="14" t="str">
        <f t="shared" si="9"/>
        <v>Yes</v>
      </c>
    </row>
    <row r="6" spans="1:15" x14ac:dyDescent="0.35">
      <c r="A6" s="15">
        <v>3005</v>
      </c>
      <c r="B6" s="14" t="s">
        <v>109</v>
      </c>
      <c r="C6" s="14" t="s">
        <v>110</v>
      </c>
      <c r="D6" s="16">
        <v>54149</v>
      </c>
      <c r="E6" s="13">
        <v>43005</v>
      </c>
      <c r="F6" s="14" t="str">
        <f t="shared" si="10"/>
        <v>Active</v>
      </c>
      <c r="G6" s="21">
        <f t="shared" si="11"/>
        <v>9.1</v>
      </c>
      <c r="H6" s="14" t="str">
        <f t="shared" si="2"/>
        <v>27 September 2017</v>
      </c>
      <c r="I6" s="14" t="str">
        <f t="shared" si="3"/>
        <v>Wednesday</v>
      </c>
      <c r="J6" s="14" t="str">
        <f t="shared" si="7"/>
        <v>Entry</v>
      </c>
      <c r="K6" s="16">
        <f t="shared" si="8"/>
        <v>5414.9000000000005</v>
      </c>
      <c r="L6" s="16">
        <f t="shared" si="4"/>
        <v>5400</v>
      </c>
      <c r="M6" s="14" t="str">
        <f t="shared" si="5"/>
        <v>EMPLOYEE 5</v>
      </c>
      <c r="N6" s="22">
        <f t="shared" si="12"/>
        <v>3307</v>
      </c>
      <c r="O6" s="14" t="str">
        <f t="shared" si="9"/>
        <v>Yes</v>
      </c>
    </row>
    <row r="7" spans="1:15" x14ac:dyDescent="0.35">
      <c r="A7" s="15">
        <v>3006</v>
      </c>
      <c r="B7" s="14" t="s">
        <v>111</v>
      </c>
      <c r="C7" s="14" t="s">
        <v>110</v>
      </c>
      <c r="D7" s="16">
        <v>78689</v>
      </c>
      <c r="E7" s="13">
        <v>43255</v>
      </c>
      <c r="F7" s="14" t="str">
        <f t="shared" si="10"/>
        <v>Active</v>
      </c>
      <c r="G7" s="21">
        <f t="shared" si="11"/>
        <v>8.4</v>
      </c>
      <c r="H7" s="14" t="str">
        <f t="shared" si="2"/>
        <v>04 June 2018</v>
      </c>
      <c r="I7" s="14" t="str">
        <f t="shared" si="3"/>
        <v>Monday</v>
      </c>
      <c r="J7" s="14" t="str">
        <f t="shared" si="7"/>
        <v>Mid</v>
      </c>
      <c r="K7" s="16">
        <f t="shared" si="8"/>
        <v>7868.9000000000005</v>
      </c>
      <c r="L7" s="16">
        <f t="shared" si="4"/>
        <v>7900</v>
      </c>
      <c r="M7" s="14" t="str">
        <f t="shared" si="5"/>
        <v>EMPLOYEE 6</v>
      </c>
      <c r="N7" s="22">
        <f t="shared" si="12"/>
        <v>3057</v>
      </c>
      <c r="O7" s="14" t="str">
        <f t="shared" si="9"/>
        <v>Yes</v>
      </c>
    </row>
    <row r="8" spans="1:15" x14ac:dyDescent="0.35">
      <c r="A8" s="15">
        <v>3007</v>
      </c>
      <c r="B8" s="14" t="s">
        <v>112</v>
      </c>
      <c r="C8" s="14" t="s">
        <v>113</v>
      </c>
      <c r="D8" s="16">
        <v>35960</v>
      </c>
      <c r="E8" s="13">
        <v>43505</v>
      </c>
      <c r="F8" s="14" t="str">
        <f t="shared" si="10"/>
        <v>Active</v>
      </c>
      <c r="G8" s="21">
        <f t="shared" si="11"/>
        <v>7.7</v>
      </c>
      <c r="H8" s="14" t="str">
        <f t="shared" si="2"/>
        <v>09 February 2019</v>
      </c>
      <c r="I8" s="14" t="str">
        <f t="shared" si="3"/>
        <v>Saturday</v>
      </c>
      <c r="J8" s="14" t="str">
        <f t="shared" si="7"/>
        <v>Entry</v>
      </c>
      <c r="K8" s="16">
        <f t="shared" si="8"/>
        <v>3596</v>
      </c>
      <c r="L8" s="16">
        <f t="shared" si="4"/>
        <v>3600</v>
      </c>
      <c r="M8" s="14" t="str">
        <f t="shared" si="5"/>
        <v>EMPLOYEE 7</v>
      </c>
      <c r="N8" s="22">
        <f t="shared" si="12"/>
        <v>2807</v>
      </c>
      <c r="O8" s="14" t="str">
        <f t="shared" si="9"/>
        <v>No</v>
      </c>
    </row>
    <row r="9" spans="1:15" x14ac:dyDescent="0.35">
      <c r="A9" s="15">
        <v>3008</v>
      </c>
      <c r="B9" s="14" t="s">
        <v>114</v>
      </c>
      <c r="C9" s="14" t="s">
        <v>110</v>
      </c>
      <c r="D9" s="16">
        <v>91659</v>
      </c>
      <c r="E9" s="13">
        <v>43755</v>
      </c>
      <c r="F9" s="14" t="str">
        <f t="shared" si="10"/>
        <v>Active</v>
      </c>
      <c r="G9" s="21">
        <f t="shared" si="11"/>
        <v>7</v>
      </c>
      <c r="H9" s="14" t="str">
        <f t="shared" si="2"/>
        <v>17 October 2019</v>
      </c>
      <c r="I9" s="14" t="str">
        <f t="shared" si="3"/>
        <v>Thursday</v>
      </c>
      <c r="J9" s="14" t="str">
        <f t="shared" si="7"/>
        <v>Mid</v>
      </c>
      <c r="K9" s="16">
        <f t="shared" si="8"/>
        <v>9165.9</v>
      </c>
      <c r="L9" s="16">
        <f t="shared" si="4"/>
        <v>9200</v>
      </c>
      <c r="M9" s="14" t="str">
        <f t="shared" si="5"/>
        <v>EMPLOYEE 8</v>
      </c>
      <c r="N9" s="22">
        <f t="shared" si="12"/>
        <v>2557</v>
      </c>
      <c r="O9" s="14" t="str">
        <f t="shared" si="9"/>
        <v>Yes</v>
      </c>
    </row>
    <row r="10" spans="1:15" x14ac:dyDescent="0.35">
      <c r="A10" s="15">
        <v>3009</v>
      </c>
      <c r="B10" s="14" t="s">
        <v>115</v>
      </c>
      <c r="C10" s="14" t="s">
        <v>110</v>
      </c>
      <c r="D10" s="16">
        <v>90423</v>
      </c>
      <c r="E10" s="13">
        <v>44005</v>
      </c>
      <c r="F10" s="14" t="str">
        <f t="shared" si="10"/>
        <v>Active</v>
      </c>
      <c r="G10" s="21">
        <f t="shared" si="11"/>
        <v>6.3</v>
      </c>
      <c r="H10" s="14" t="str">
        <f t="shared" si="2"/>
        <v>23 June 2020</v>
      </c>
      <c r="I10" s="14" t="str">
        <f t="shared" si="3"/>
        <v>Tuesday</v>
      </c>
      <c r="J10" s="14" t="str">
        <f t="shared" si="7"/>
        <v>Mid</v>
      </c>
      <c r="K10" s="16">
        <f t="shared" si="8"/>
        <v>9042.3000000000011</v>
      </c>
      <c r="L10" s="16">
        <f t="shared" si="4"/>
        <v>9000</v>
      </c>
      <c r="M10" s="14" t="str">
        <f t="shared" si="5"/>
        <v>EMPLOYEE 9</v>
      </c>
      <c r="N10" s="22">
        <f t="shared" si="12"/>
        <v>2307</v>
      </c>
      <c r="O10" s="14" t="str">
        <f t="shared" si="9"/>
        <v>Yes</v>
      </c>
    </row>
    <row r="11" spans="1:15" x14ac:dyDescent="0.35">
      <c r="A11" s="15">
        <v>3010</v>
      </c>
      <c r="B11" s="14" t="s">
        <v>116</v>
      </c>
      <c r="C11" s="14" t="s">
        <v>107</v>
      </c>
      <c r="D11" s="16">
        <v>107877</v>
      </c>
      <c r="E11" s="13">
        <v>44255</v>
      </c>
      <c r="F11" s="14" t="str">
        <f t="shared" si="10"/>
        <v>Active</v>
      </c>
      <c r="G11" s="21">
        <f t="shared" si="11"/>
        <v>5.6</v>
      </c>
      <c r="H11" s="14" t="str">
        <f t="shared" si="2"/>
        <v>28 February 2021</v>
      </c>
      <c r="I11" s="14" t="str">
        <f t="shared" si="3"/>
        <v>Sunday</v>
      </c>
      <c r="J11" s="14" t="str">
        <f t="shared" si="7"/>
        <v>High</v>
      </c>
      <c r="K11" s="16">
        <f t="shared" si="8"/>
        <v>10787.7</v>
      </c>
      <c r="L11" s="16">
        <f t="shared" si="4"/>
        <v>10800</v>
      </c>
      <c r="M11" s="14" t="str">
        <f t="shared" si="5"/>
        <v>EMPLOYEE 10</v>
      </c>
      <c r="N11" s="22">
        <f t="shared" si="12"/>
        <v>2057</v>
      </c>
      <c r="O11" s="14" t="str">
        <f t="shared" si="9"/>
        <v>No</v>
      </c>
    </row>
    <row r="12" spans="1:15" x14ac:dyDescent="0.35">
      <c r="A12" s="15">
        <v>3011</v>
      </c>
      <c r="B12" s="14" t="s">
        <v>117</v>
      </c>
      <c r="C12" s="14" t="s">
        <v>104</v>
      </c>
      <c r="D12" s="16">
        <v>107634</v>
      </c>
      <c r="E12" s="13">
        <v>44505</v>
      </c>
      <c r="F12" s="14" t="str">
        <f t="shared" si="10"/>
        <v>Active</v>
      </c>
      <c r="G12" s="21">
        <f t="shared" si="11"/>
        <v>4.9000000000000004</v>
      </c>
      <c r="H12" s="14" t="str">
        <f t="shared" si="2"/>
        <v>05 November 2021</v>
      </c>
      <c r="I12" s="14" t="str">
        <f t="shared" si="3"/>
        <v>Friday</v>
      </c>
      <c r="J12" s="14" t="str">
        <f t="shared" si="7"/>
        <v>High</v>
      </c>
      <c r="K12" s="16">
        <f t="shared" si="8"/>
        <v>10763.400000000001</v>
      </c>
      <c r="L12" s="16">
        <f t="shared" si="4"/>
        <v>10800</v>
      </c>
      <c r="M12" s="14" t="str">
        <f t="shared" si="5"/>
        <v>EMPLOYEE 11</v>
      </c>
      <c r="N12" s="22">
        <f t="shared" si="12"/>
        <v>1807</v>
      </c>
      <c r="O12" s="14" t="str">
        <f t="shared" si="9"/>
        <v>No</v>
      </c>
    </row>
    <row r="13" spans="1:15" x14ac:dyDescent="0.35">
      <c r="A13" s="15">
        <v>3012</v>
      </c>
      <c r="B13" s="14" t="s">
        <v>118</v>
      </c>
      <c r="C13" s="14" t="s">
        <v>104</v>
      </c>
      <c r="D13" s="16">
        <v>35226</v>
      </c>
      <c r="E13" s="13">
        <v>44755</v>
      </c>
      <c r="F13" s="14" t="str">
        <f t="shared" si="10"/>
        <v>Active</v>
      </c>
      <c r="G13" s="21">
        <f t="shared" si="11"/>
        <v>4.3</v>
      </c>
      <c r="H13" s="14" t="str">
        <f t="shared" si="2"/>
        <v>13 July 2022</v>
      </c>
      <c r="I13" s="14" t="str">
        <f t="shared" si="3"/>
        <v>Wednesday</v>
      </c>
      <c r="J13" s="14" t="str">
        <f t="shared" si="7"/>
        <v>Entry</v>
      </c>
      <c r="K13" s="16">
        <f t="shared" si="8"/>
        <v>3522.6000000000004</v>
      </c>
      <c r="L13" s="16">
        <f t="shared" si="4"/>
        <v>3500</v>
      </c>
      <c r="M13" s="14" t="str">
        <f t="shared" si="5"/>
        <v>EMPLOYEE 12</v>
      </c>
      <c r="N13" s="22">
        <f t="shared" si="12"/>
        <v>1557</v>
      </c>
      <c r="O13" s="14" t="str">
        <f t="shared" si="9"/>
        <v>No</v>
      </c>
    </row>
    <row r="14" spans="1:15" x14ac:dyDescent="0.35">
      <c r="A14" s="15">
        <v>3013</v>
      </c>
      <c r="B14" s="14" t="s">
        <v>119</v>
      </c>
      <c r="C14" s="14" t="s">
        <v>107</v>
      </c>
      <c r="D14" s="16">
        <v>40872</v>
      </c>
      <c r="E14" s="13">
        <v>45005</v>
      </c>
      <c r="F14" s="14" t="str">
        <f t="shared" si="10"/>
        <v>Active</v>
      </c>
      <c r="G14" s="21">
        <f t="shared" si="11"/>
        <v>3.6</v>
      </c>
      <c r="H14" s="14" t="str">
        <f t="shared" si="2"/>
        <v>20 March 2023</v>
      </c>
      <c r="I14" s="14" t="str">
        <f t="shared" si="3"/>
        <v>Monday</v>
      </c>
      <c r="J14" s="14" t="str">
        <f t="shared" si="7"/>
        <v>Entry</v>
      </c>
      <c r="K14" s="16">
        <f t="shared" si="8"/>
        <v>4087.2000000000003</v>
      </c>
      <c r="L14" s="16">
        <f t="shared" si="4"/>
        <v>4100</v>
      </c>
      <c r="M14" s="14" t="str">
        <f t="shared" si="5"/>
        <v>EMPLOYEE 13</v>
      </c>
      <c r="N14" s="22">
        <f t="shared" si="12"/>
        <v>1307</v>
      </c>
      <c r="O14" s="14" t="str">
        <f t="shared" si="9"/>
        <v>No</v>
      </c>
    </row>
    <row r="15" spans="1:15" x14ac:dyDescent="0.35">
      <c r="A15" s="15">
        <v>3014</v>
      </c>
      <c r="B15" s="14" t="s">
        <v>120</v>
      </c>
      <c r="C15" s="14" t="s">
        <v>107</v>
      </c>
      <c r="D15" s="16">
        <v>55378</v>
      </c>
      <c r="E15" s="13">
        <v>45255</v>
      </c>
      <c r="F15" s="14" t="str">
        <f t="shared" si="10"/>
        <v>Active</v>
      </c>
      <c r="G15" s="21">
        <f t="shared" si="11"/>
        <v>2.9</v>
      </c>
      <c r="H15" s="14" t="str">
        <f t="shared" si="2"/>
        <v>25 November 2023</v>
      </c>
      <c r="I15" s="14" t="str">
        <f t="shared" si="3"/>
        <v>Saturday</v>
      </c>
      <c r="J15" s="14" t="str">
        <f t="shared" si="7"/>
        <v>Entry</v>
      </c>
      <c r="K15" s="16">
        <f t="shared" si="8"/>
        <v>5537.8</v>
      </c>
      <c r="L15" s="16">
        <f t="shared" si="4"/>
        <v>5500</v>
      </c>
      <c r="M15" s="14" t="str">
        <f t="shared" si="5"/>
        <v>EMPLOYEE 14</v>
      </c>
      <c r="N15" s="22">
        <f t="shared" si="12"/>
        <v>1057</v>
      </c>
      <c r="O15" s="14" t="str">
        <f t="shared" si="9"/>
        <v>No</v>
      </c>
    </row>
    <row r="16" spans="1:15" x14ac:dyDescent="0.35">
      <c r="A16" s="15">
        <v>3015</v>
      </c>
      <c r="B16" s="14" t="s">
        <v>121</v>
      </c>
      <c r="C16" s="14" t="s">
        <v>107</v>
      </c>
      <c r="D16" s="16">
        <v>63297</v>
      </c>
      <c r="E16" s="13">
        <v>45505</v>
      </c>
      <c r="F16" s="14" t="str">
        <f t="shared" si="10"/>
        <v>Active</v>
      </c>
      <c r="G16" s="21">
        <f t="shared" si="11"/>
        <v>2.2000000000000002</v>
      </c>
      <c r="H16" s="14" t="str">
        <f t="shared" si="2"/>
        <v>01 August 2024</v>
      </c>
      <c r="I16" s="14" t="str">
        <f t="shared" si="3"/>
        <v>Thursday</v>
      </c>
      <c r="J16" s="14" t="str">
        <f t="shared" si="7"/>
        <v>Mid</v>
      </c>
      <c r="K16" s="16">
        <f t="shared" si="8"/>
        <v>6329.7000000000007</v>
      </c>
      <c r="L16" s="16">
        <f t="shared" si="4"/>
        <v>6300</v>
      </c>
      <c r="M16" s="14" t="str">
        <f t="shared" si="5"/>
        <v>EMPLOYEE 15</v>
      </c>
      <c r="N16" s="22">
        <f t="shared" si="12"/>
        <v>807</v>
      </c>
      <c r="O16" s="14" t="str">
        <f t="shared" si="9"/>
        <v>No</v>
      </c>
    </row>
    <row r="17" spans="1:15" x14ac:dyDescent="0.35">
      <c r="A17" s="15">
        <v>3016</v>
      </c>
      <c r="B17" s="14" t="s">
        <v>122</v>
      </c>
      <c r="C17" s="14" t="s">
        <v>104</v>
      </c>
      <c r="D17" s="16">
        <v>114173</v>
      </c>
      <c r="E17" s="13">
        <v>45755</v>
      </c>
      <c r="F17" s="14" t="str">
        <f t="shared" si="10"/>
        <v>Active</v>
      </c>
      <c r="G17" s="21">
        <f t="shared" si="11"/>
        <v>1.5</v>
      </c>
      <c r="H17" s="14" t="str">
        <f t="shared" si="2"/>
        <v>08 April 2025</v>
      </c>
      <c r="I17" s="14" t="str">
        <f t="shared" si="3"/>
        <v>Tuesday</v>
      </c>
      <c r="J17" s="14" t="str">
        <f t="shared" si="7"/>
        <v>High</v>
      </c>
      <c r="K17" s="16">
        <f t="shared" si="8"/>
        <v>11417.300000000001</v>
      </c>
      <c r="L17" s="16">
        <f t="shared" si="4"/>
        <v>11400</v>
      </c>
      <c r="M17" s="14" t="str">
        <f t="shared" si="5"/>
        <v>EMPLOYEE 16</v>
      </c>
      <c r="N17" s="22">
        <f t="shared" si="12"/>
        <v>557</v>
      </c>
      <c r="O17" s="14" t="str">
        <f t="shared" si="9"/>
        <v>No</v>
      </c>
    </row>
    <row r="18" spans="1:15" x14ac:dyDescent="0.35">
      <c r="A18" s="15">
        <v>3017</v>
      </c>
      <c r="B18" s="14" t="s">
        <v>123</v>
      </c>
      <c r="C18" s="14" t="s">
        <v>107</v>
      </c>
      <c r="D18" s="16">
        <v>86915</v>
      </c>
      <c r="E18" s="13">
        <v>46005</v>
      </c>
      <c r="F18" s="14" t="str">
        <f t="shared" si="10"/>
        <v>Active</v>
      </c>
      <c r="G18" s="21">
        <f t="shared" si="11"/>
        <v>0.8</v>
      </c>
      <c r="H18" s="14" t="str">
        <f t="shared" si="2"/>
        <v>14 December 2025</v>
      </c>
      <c r="I18" s="14" t="str">
        <f t="shared" si="3"/>
        <v>Sunday</v>
      </c>
      <c r="J18" s="14" t="str">
        <f t="shared" si="7"/>
        <v>Mid</v>
      </c>
      <c r="K18" s="16">
        <f t="shared" si="8"/>
        <v>8691.5</v>
      </c>
      <c r="L18" s="16">
        <f t="shared" si="4"/>
        <v>8700</v>
      </c>
      <c r="M18" s="14" t="str">
        <f t="shared" si="5"/>
        <v>EMPLOYEE 17</v>
      </c>
      <c r="N18" s="22">
        <f t="shared" si="12"/>
        <v>307</v>
      </c>
      <c r="O18" s="14" t="str">
        <f t="shared" si="9"/>
        <v>No</v>
      </c>
    </row>
    <row r="19" spans="1:15" x14ac:dyDescent="0.35">
      <c r="A19" s="15">
        <v>3018</v>
      </c>
      <c r="B19" s="14" t="s">
        <v>124</v>
      </c>
      <c r="C19" s="14" t="s">
        <v>110</v>
      </c>
      <c r="D19" s="16">
        <v>116284</v>
      </c>
      <c r="E19" s="13">
        <v>46255</v>
      </c>
      <c r="F19" s="14" t="str">
        <f t="shared" si="10"/>
        <v>Active</v>
      </c>
      <c r="G19" s="21">
        <f t="shared" si="11"/>
        <v>0.2</v>
      </c>
      <c r="H19" s="14" t="str">
        <f t="shared" si="2"/>
        <v>21 August 2026</v>
      </c>
      <c r="I19" s="14" t="str">
        <f t="shared" si="3"/>
        <v>Friday</v>
      </c>
      <c r="J19" s="14" t="str">
        <f t="shared" si="7"/>
        <v>High</v>
      </c>
      <c r="K19" s="16">
        <f t="shared" si="8"/>
        <v>11628.400000000001</v>
      </c>
      <c r="L19" s="16">
        <f t="shared" si="4"/>
        <v>11600</v>
      </c>
      <c r="M19" s="14" t="str">
        <f t="shared" si="5"/>
        <v>EMPLOYEE 18</v>
      </c>
      <c r="N19" s="22">
        <f t="shared" si="12"/>
        <v>57</v>
      </c>
      <c r="O19" s="14" t="str">
        <f t="shared" si="9"/>
        <v>No</v>
      </c>
    </row>
    <row r="20" spans="1:15" x14ac:dyDescent="0.35">
      <c r="A20" s="15">
        <v>3019</v>
      </c>
      <c r="B20" s="14" t="s">
        <v>125</v>
      </c>
      <c r="C20" s="14" t="s">
        <v>113</v>
      </c>
      <c r="D20" s="16">
        <v>116283</v>
      </c>
      <c r="E20" s="13">
        <v>46505</v>
      </c>
      <c r="F20" s="14" t="str">
        <f t="shared" si="0"/>
        <v>Upcoming</v>
      </c>
      <c r="G20" s="21">
        <f t="shared" si="11"/>
        <v>0.5</v>
      </c>
      <c r="H20" s="14" t="str">
        <f t="shared" si="2"/>
        <v>28 April 2027</v>
      </c>
      <c r="I20" s="14" t="str">
        <f t="shared" si="3"/>
        <v>Wednesday</v>
      </c>
      <c r="J20" s="14" t="str">
        <f t="shared" si="7"/>
        <v>High</v>
      </c>
      <c r="K20" s="16">
        <f t="shared" si="8"/>
        <v>11628.300000000001</v>
      </c>
      <c r="L20" s="16">
        <f t="shared" si="4"/>
        <v>11600</v>
      </c>
      <c r="M20" s="14" t="str">
        <f t="shared" si="5"/>
        <v>EMPLOYEE 19</v>
      </c>
      <c r="N20" s="22" t="str">
        <f>IF(E20&gt;"17-Oct-2026","Upcoming","Upcoming")</f>
        <v>Upcoming</v>
      </c>
      <c r="O20" s="14" t="str">
        <f t="shared" si="9"/>
        <v>No</v>
      </c>
    </row>
    <row r="21" spans="1:15" x14ac:dyDescent="0.35">
      <c r="A21" s="15">
        <v>3020</v>
      </c>
      <c r="B21" s="14" t="s">
        <v>126</v>
      </c>
      <c r="C21" s="14" t="s">
        <v>113</v>
      </c>
      <c r="D21" s="16">
        <v>99924</v>
      </c>
      <c r="E21" s="13">
        <v>46755</v>
      </c>
      <c r="F21" s="14" t="str">
        <f t="shared" si="0"/>
        <v>Upcoming</v>
      </c>
      <c r="G21" s="21">
        <f t="shared" si="11"/>
        <v>1.2</v>
      </c>
      <c r="H21" s="14" t="str">
        <f t="shared" si="2"/>
        <v>03 January 2028</v>
      </c>
      <c r="I21" s="14" t="str">
        <f t="shared" si="3"/>
        <v>Monday</v>
      </c>
      <c r="J21" s="14" t="str">
        <f t="shared" si="7"/>
        <v>Mid</v>
      </c>
      <c r="K21" s="16">
        <f t="shared" si="8"/>
        <v>9992.4000000000015</v>
      </c>
      <c r="L21" s="16">
        <f t="shared" si="4"/>
        <v>10000</v>
      </c>
      <c r="M21" s="14" t="str">
        <f t="shared" si="5"/>
        <v>EMPLOYEE 20</v>
      </c>
      <c r="N21" s="22" t="str">
        <f>IF(E21&gt;"17-Oct-2026","Upcoming","Upcoming")</f>
        <v>Upcoming</v>
      </c>
      <c r="O21" s="14" t="str">
        <f t="shared" si="9"/>
        <v>No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topLeftCell="A11" workbookViewId="0">
      <selection activeCell="D56" sqref="D56"/>
    </sheetView>
  </sheetViews>
  <sheetFormatPr defaultRowHeight="14.5" x14ac:dyDescent="0.35"/>
  <cols>
    <col min="1" max="1" width="18.7265625" customWidth="1"/>
    <col min="2" max="7" width="14.7265625" customWidth="1"/>
  </cols>
  <sheetData>
    <row r="1" spans="1:7" ht="18" x14ac:dyDescent="0.4">
      <c r="A1" s="1" t="s">
        <v>134</v>
      </c>
    </row>
    <row r="3" spans="1:7" x14ac:dyDescent="0.35">
      <c r="A3" s="29" t="s">
        <v>135</v>
      </c>
      <c r="B3" s="29"/>
      <c r="C3" s="29"/>
      <c r="D3" s="29"/>
      <c r="E3" s="29"/>
      <c r="F3" s="29"/>
      <c r="G3" s="29"/>
    </row>
    <row r="4" spans="1:7" x14ac:dyDescent="0.35">
      <c r="A4" s="2" t="s">
        <v>47</v>
      </c>
      <c r="B4" s="2" t="s">
        <v>61</v>
      </c>
      <c r="C4" s="2" t="s">
        <v>81</v>
      </c>
      <c r="D4" s="2" t="s">
        <v>79</v>
      </c>
      <c r="E4" s="2" t="s">
        <v>67</v>
      </c>
      <c r="F4" s="2" t="s">
        <v>64</v>
      </c>
      <c r="G4" s="2" t="s">
        <v>136</v>
      </c>
    </row>
    <row r="5" spans="1:7" x14ac:dyDescent="0.35">
      <c r="A5" s="14" t="s">
        <v>69</v>
      </c>
      <c r="B5" s="16">
        <f>SUMIFS('Sales Data'!$E$2:$E$21,'Sales Data'!$C$2:$C$21,$A5,'Sales Data'!$B$2:$B$21,B$4)</f>
        <v>80349</v>
      </c>
      <c r="C5" s="16">
        <f>SUMIFS('Sales Data'!$E$2:$E$21,'Sales Data'!$C$2:$C$21,$A5,'Sales Data'!$B$2:$B$21,C$4)</f>
        <v>31238</v>
      </c>
      <c r="D5" s="16">
        <f>SUMIFS('Sales Data'!$E$2:$E$21,'Sales Data'!$C$2:$C$21,$A5,'Sales Data'!$B$2:$B$21,D$4)</f>
        <v>0</v>
      </c>
      <c r="E5" s="16">
        <f>SUMIFS('Sales Data'!$E$2:$E$21,'Sales Data'!$C$2:$C$21,$A5,'Sales Data'!$B$2:$B$21,E$4)</f>
        <v>37335</v>
      </c>
      <c r="F5" s="16">
        <f>SUMIFS('Sales Data'!$E$2:$E$21,'Sales Data'!$C$2:$C$21,$A5,'Sales Data'!$B$2:$B$21,F$4)</f>
        <v>25010</v>
      </c>
      <c r="G5" s="16">
        <f>SUM(B5:F5)</f>
        <v>173932</v>
      </c>
    </row>
    <row r="6" spans="1:7" x14ac:dyDescent="0.35">
      <c r="A6" s="14" t="s">
        <v>71</v>
      </c>
      <c r="B6" s="16">
        <f>SUMIFS('Sales Data'!$E$2:$E$21,'Sales Data'!$C$2:$C$21,$A6,'Sales Data'!$B$2:$B$21,B$4)</f>
        <v>43388</v>
      </c>
      <c r="C6" s="16">
        <f>SUMIFS('Sales Data'!$E$2:$E$21,'Sales Data'!$C$2:$C$21,$A6,'Sales Data'!$B$2:$B$21,C$4)</f>
        <v>0</v>
      </c>
      <c r="D6" s="16">
        <f>SUMIFS('Sales Data'!$E$2:$E$21,'Sales Data'!$C$2:$C$21,$A6,'Sales Data'!$B$2:$B$21,D$4)</f>
        <v>77482</v>
      </c>
      <c r="E6" s="16">
        <f>SUMIFS('Sales Data'!$E$2:$E$21,'Sales Data'!$C$2:$C$21,$A6,'Sales Data'!$B$2:$B$21,E$4)</f>
        <v>19757</v>
      </c>
      <c r="F6" s="16">
        <f>SUMIFS('Sales Data'!$E$2:$E$21,'Sales Data'!$C$2:$C$21,$A6,'Sales Data'!$B$2:$B$21,F$4)</f>
        <v>0</v>
      </c>
      <c r="G6" s="16">
        <f>SUM(B6:F6)</f>
        <v>140627</v>
      </c>
    </row>
    <row r="7" spans="1:7" x14ac:dyDescent="0.35">
      <c r="A7" s="14" t="s">
        <v>62</v>
      </c>
      <c r="B7" s="16">
        <f>SUMIFS('Sales Data'!$E$2:$E$21,'Sales Data'!$C$2:$C$21,$A7,'Sales Data'!$B$2:$B$21,B$4)</f>
        <v>42233</v>
      </c>
      <c r="C7" s="16">
        <f>SUMIFS('Sales Data'!$E$2:$E$21,'Sales Data'!$C$2:$C$21,$A7,'Sales Data'!$B$2:$B$21,C$4)</f>
        <v>7283</v>
      </c>
      <c r="D7" s="16">
        <f>SUMIFS('Sales Data'!$E$2:$E$21,'Sales Data'!$C$2:$C$21,$A7,'Sales Data'!$B$2:$B$21,D$4)</f>
        <v>0</v>
      </c>
      <c r="E7" s="16">
        <f>SUMIFS('Sales Data'!$E$2:$E$21,'Sales Data'!$C$2:$C$21,$A7,'Sales Data'!$B$2:$B$21,E$4)</f>
        <v>23672</v>
      </c>
      <c r="F7" s="16">
        <f>SUMIFS('Sales Data'!$E$2:$E$21,'Sales Data'!$C$2:$C$21,$A7,'Sales Data'!$B$2:$B$21,F$4)</f>
        <v>0</v>
      </c>
      <c r="G7" s="16">
        <f>SUM(B7:F7)</f>
        <v>73188</v>
      </c>
    </row>
    <row r="8" spans="1:7" x14ac:dyDescent="0.35">
      <c r="A8" s="14" t="s">
        <v>65</v>
      </c>
      <c r="B8" s="16">
        <f>SUMIFS('Sales Data'!$E$2:$E$21,'Sales Data'!$C$2:$C$21,$A8,'Sales Data'!$B$2:$B$21,B$4)</f>
        <v>0</v>
      </c>
      <c r="C8" s="16">
        <f>SUMIFS('Sales Data'!$E$2:$E$21,'Sales Data'!$C$2:$C$21,$A8,'Sales Data'!$B$2:$B$21,C$4)</f>
        <v>0</v>
      </c>
      <c r="D8" s="16">
        <f>SUMIFS('Sales Data'!$E$2:$E$21,'Sales Data'!$C$2:$C$21,$A8,'Sales Data'!$B$2:$B$21,D$4)</f>
        <v>38161</v>
      </c>
      <c r="E8" s="16">
        <f>SUMIFS('Sales Data'!$E$2:$E$21,'Sales Data'!$C$2:$C$21,$A8,'Sales Data'!$B$2:$B$21,E$4)</f>
        <v>30436</v>
      </c>
      <c r="F8" s="16">
        <f>SUMIFS('Sales Data'!$E$2:$E$21,'Sales Data'!$C$2:$C$21,$A8,'Sales Data'!$B$2:$B$21,F$4)</f>
        <v>51381</v>
      </c>
      <c r="G8" s="16">
        <f>SUM(B8:F8)</f>
        <v>119978</v>
      </c>
    </row>
    <row r="9" spans="1:7" x14ac:dyDescent="0.35">
      <c r="A9" s="2" t="s">
        <v>136</v>
      </c>
      <c r="B9" s="23">
        <f t="shared" ref="B9:G9" si="0">SUM(B5:B8)</f>
        <v>165970</v>
      </c>
      <c r="C9" s="23">
        <f t="shared" si="0"/>
        <v>38521</v>
      </c>
      <c r="D9" s="23">
        <f t="shared" si="0"/>
        <v>115643</v>
      </c>
      <c r="E9" s="23">
        <f t="shared" si="0"/>
        <v>111200</v>
      </c>
      <c r="F9" s="23">
        <f t="shared" si="0"/>
        <v>76391</v>
      </c>
      <c r="G9" s="23">
        <f t="shared" si="0"/>
        <v>507725</v>
      </c>
    </row>
    <row r="11" spans="1:7" x14ac:dyDescent="0.35">
      <c r="A11" s="29" t="s">
        <v>170</v>
      </c>
      <c r="B11" s="29"/>
      <c r="C11" s="29"/>
      <c r="D11" s="29"/>
      <c r="E11" s="29"/>
      <c r="F11" s="29"/>
      <c r="G11" s="29"/>
    </row>
    <row r="12" spans="1:7" x14ac:dyDescent="0.35">
      <c r="A12" s="2" t="s">
        <v>46</v>
      </c>
      <c r="B12" s="2" t="s">
        <v>137</v>
      </c>
      <c r="C12" s="2" t="s">
        <v>138</v>
      </c>
      <c r="D12" s="2" t="s">
        <v>139</v>
      </c>
      <c r="E12" s="2" t="s">
        <v>140</v>
      </c>
    </row>
    <row r="13" spans="1:7" x14ac:dyDescent="0.35">
      <c r="A13" s="14" t="s">
        <v>61</v>
      </c>
      <c r="B13" s="15">
        <f>COUNTIFS('Sales Data'!$B$2:$B$21,$A13)</f>
        <v>5</v>
      </c>
      <c r="C13" s="16">
        <f>SUMIFS('Sales Data'!$E$2:$E$21,'Sales Data'!$B$2:$B$21,$A13)</f>
        <v>165970</v>
      </c>
      <c r="D13" s="16">
        <f t="shared" ref="D13:D18" si="1">C13/B13</f>
        <v>33194</v>
      </c>
      <c r="E13" s="24">
        <f>C13/$C$18</f>
        <v>0.32688955635432565</v>
      </c>
    </row>
    <row r="14" spans="1:7" x14ac:dyDescent="0.35">
      <c r="A14" s="14" t="s">
        <v>81</v>
      </c>
      <c r="B14" s="15">
        <f>COUNTIFS('Sales Data'!$B$2:$B$21,$A14)</f>
        <v>3</v>
      </c>
      <c r="C14" s="16">
        <f>SUMIFS('Sales Data'!$E$2:$E$21,'Sales Data'!$B$2:$B$21,$A14)</f>
        <v>38521</v>
      </c>
      <c r="D14" s="16">
        <f t="shared" si="1"/>
        <v>12840.333333333334</v>
      </c>
      <c r="E14" s="24">
        <f>C14/$C$18</f>
        <v>7.5869811413658964E-2</v>
      </c>
    </row>
    <row r="15" spans="1:7" x14ac:dyDescent="0.35">
      <c r="A15" s="14" t="s">
        <v>79</v>
      </c>
      <c r="B15" s="15">
        <f>COUNTIFS('Sales Data'!$B$2:$B$21,$A15)</f>
        <v>3</v>
      </c>
      <c r="C15" s="16">
        <f>SUMIFS('Sales Data'!$E$2:$E$21,'Sales Data'!$B$2:$B$21,$A15)</f>
        <v>115643</v>
      </c>
      <c r="D15" s="16">
        <f t="shared" si="1"/>
        <v>38547.666666666664</v>
      </c>
      <c r="E15" s="24">
        <f>C15/$C$18</f>
        <v>0.22776699985228224</v>
      </c>
    </row>
    <row r="16" spans="1:7" x14ac:dyDescent="0.35">
      <c r="A16" s="14" t="s">
        <v>67</v>
      </c>
      <c r="B16" s="15">
        <f>COUNTIFS('Sales Data'!$B$2:$B$21,$A16)</f>
        <v>5</v>
      </c>
      <c r="C16" s="16">
        <f>SUMIFS('Sales Data'!$E$2:$E$21,'Sales Data'!$B$2:$B$21,$A16)</f>
        <v>111200</v>
      </c>
      <c r="D16" s="16">
        <f t="shared" si="1"/>
        <v>22240</v>
      </c>
      <c r="E16" s="24">
        <f>C16/$C$18</f>
        <v>0.21901619971441233</v>
      </c>
    </row>
    <row r="17" spans="1:6" x14ac:dyDescent="0.35">
      <c r="A17" s="14" t="s">
        <v>64</v>
      </c>
      <c r="B17" s="15">
        <f>COUNTIFS('Sales Data'!$B$2:$B$21,$A17)</f>
        <v>4</v>
      </c>
      <c r="C17" s="16">
        <f>SUMIFS('Sales Data'!$E$2:$E$21,'Sales Data'!$B$2:$B$21,$A17)</f>
        <v>76391</v>
      </c>
      <c r="D17" s="16">
        <f t="shared" si="1"/>
        <v>19097.75</v>
      </c>
      <c r="E17" s="24">
        <f>C17/$C$18</f>
        <v>0.1504574326653208</v>
      </c>
    </row>
    <row r="18" spans="1:6" x14ac:dyDescent="0.35">
      <c r="A18" s="2" t="s">
        <v>136</v>
      </c>
      <c r="B18" s="25">
        <f>SUM(B13:B17)</f>
        <v>20</v>
      </c>
      <c r="C18" s="23">
        <f>SUM(C13:C17)</f>
        <v>507725</v>
      </c>
      <c r="D18" s="23">
        <f t="shared" si="1"/>
        <v>25386.25</v>
      </c>
      <c r="E18" s="26">
        <f>SUM(E13:E17)</f>
        <v>1</v>
      </c>
    </row>
    <row r="20" spans="1:6" x14ac:dyDescent="0.35">
      <c r="A20" s="29" t="s">
        <v>171</v>
      </c>
      <c r="B20" s="29"/>
      <c r="C20" s="29"/>
      <c r="D20" s="29"/>
      <c r="E20" s="29"/>
      <c r="F20" s="29"/>
    </row>
    <row r="21" spans="1:6" x14ac:dyDescent="0.35">
      <c r="A21" s="2" t="s">
        <v>47</v>
      </c>
      <c r="B21" s="2" t="s">
        <v>137</v>
      </c>
      <c r="C21" s="2" t="s">
        <v>138</v>
      </c>
      <c r="D21" s="2" t="s">
        <v>139</v>
      </c>
      <c r="E21" s="2" t="s">
        <v>140</v>
      </c>
    </row>
    <row r="22" spans="1:6" x14ac:dyDescent="0.35">
      <c r="A22" s="14" t="s">
        <v>69</v>
      </c>
      <c r="B22" s="15">
        <f>COUNTIFS('Sales Data'!$C$2:$C$21,$A22)</f>
        <v>8</v>
      </c>
      <c r="C22" s="16">
        <f>SUMIFS('Sales Data'!$E$2:$E$21,'Sales Data'!$C$2:$C$21,$A22)</f>
        <v>173932</v>
      </c>
      <c r="D22" s="16">
        <f>C22/B22</f>
        <v>21741.5</v>
      </c>
      <c r="E22" s="24">
        <f>C22/$C$26</f>
        <v>0.34257127381948888</v>
      </c>
    </row>
    <row r="23" spans="1:6" x14ac:dyDescent="0.35">
      <c r="A23" s="14" t="s">
        <v>71</v>
      </c>
      <c r="B23" s="15">
        <f>COUNTIFS('Sales Data'!$C$2:$C$21,$A23)</f>
        <v>4</v>
      </c>
      <c r="C23" s="16">
        <f>SUMIFS('Sales Data'!$E$2:$E$21,'Sales Data'!$C$2:$C$21,$A23)</f>
        <v>140627</v>
      </c>
      <c r="D23" s="16">
        <f>C23/B23</f>
        <v>35156.75</v>
      </c>
      <c r="E23" s="24">
        <f>C23/$C$26</f>
        <v>0.27697474026293761</v>
      </c>
    </row>
    <row r="24" spans="1:6" x14ac:dyDescent="0.35">
      <c r="A24" s="14" t="s">
        <v>62</v>
      </c>
      <c r="B24" s="15">
        <f>COUNTIFS('Sales Data'!$C$2:$C$21,$A24)</f>
        <v>4</v>
      </c>
      <c r="C24" s="16">
        <f>SUMIFS('Sales Data'!$E$2:$E$21,'Sales Data'!$C$2:$C$21,$A24)</f>
        <v>73188</v>
      </c>
      <c r="D24" s="16">
        <f>C24/B24</f>
        <v>18297</v>
      </c>
      <c r="E24" s="24">
        <f>C24/$C$26</f>
        <v>0.14414889950268353</v>
      </c>
    </row>
    <row r="25" spans="1:6" x14ac:dyDescent="0.35">
      <c r="A25" s="14" t="s">
        <v>65</v>
      </c>
      <c r="B25" s="15">
        <f>COUNTIFS('Sales Data'!$C$2:$C$21,$A25)</f>
        <v>4</v>
      </c>
      <c r="C25" s="16">
        <f>SUMIFS('Sales Data'!$E$2:$E$21,'Sales Data'!$C$2:$C$21,$A25)</f>
        <v>119978</v>
      </c>
      <c r="D25" s="16">
        <f>C25/B25</f>
        <v>29994.5</v>
      </c>
      <c r="E25" s="24">
        <f>C25/$C$26</f>
        <v>0.23630508641488995</v>
      </c>
    </row>
    <row r="26" spans="1:6" x14ac:dyDescent="0.35">
      <c r="A26" s="2" t="s">
        <v>136</v>
      </c>
      <c r="B26" s="25">
        <f>SUM(B22:B25)</f>
        <v>20</v>
      </c>
      <c r="C26" s="23">
        <f>SUM(C22:C25)</f>
        <v>507725</v>
      </c>
      <c r="D26" s="23">
        <f>C26/B26</f>
        <v>25386.25</v>
      </c>
      <c r="E26" s="26">
        <f>SUM(E22:E25)</f>
        <v>1</v>
      </c>
    </row>
    <row r="28" spans="1:6" x14ac:dyDescent="0.35">
      <c r="A28" s="29" t="s">
        <v>172</v>
      </c>
      <c r="B28" s="29"/>
      <c r="C28" s="29"/>
      <c r="D28" s="29"/>
      <c r="E28" s="29"/>
    </row>
    <row r="29" spans="1:6" x14ac:dyDescent="0.35">
      <c r="A29" s="2" t="s">
        <v>91</v>
      </c>
      <c r="B29" s="2" t="s">
        <v>127</v>
      </c>
      <c r="C29" s="2" t="s">
        <v>128</v>
      </c>
      <c r="D29" s="2" t="s">
        <v>129</v>
      </c>
      <c r="E29" s="2" t="s">
        <v>136</v>
      </c>
    </row>
    <row r="30" spans="1:6" x14ac:dyDescent="0.35">
      <c r="A30" s="14" t="s">
        <v>104</v>
      </c>
      <c r="B30" s="15">
        <f>COUNTIFS('Employee Data'!$C$2:$C$21,$A30,'Employee Data'!$J$2:$J$21,B$29)</f>
        <v>3</v>
      </c>
      <c r="C30" s="15">
        <f>COUNTIFS('Employee Data'!$C$2:$C$21,$A30,'Employee Data'!$J$2:$J$21,C$29)</f>
        <v>1</v>
      </c>
      <c r="D30" s="15">
        <f>COUNTIFS('Employee Data'!$C$2:$C$21,$A30,'Employee Data'!$J$2:$J$21,D$29)</f>
        <v>2</v>
      </c>
      <c r="E30" s="15">
        <f>SUM(B30:D30)</f>
        <v>6</v>
      </c>
    </row>
    <row r="31" spans="1:6" x14ac:dyDescent="0.35">
      <c r="A31" s="14" t="s">
        <v>107</v>
      </c>
      <c r="B31" s="15">
        <f>COUNTIFS('Employee Data'!$C$2:$C$21,$A31,'Employee Data'!$J$2:$J$21,B$29)</f>
        <v>1</v>
      </c>
      <c r="C31" s="15">
        <f>COUNTIFS('Employee Data'!$C$2:$C$21,$A31,'Employee Data'!$J$2:$J$21,C$29)</f>
        <v>3</v>
      </c>
      <c r="D31" s="15">
        <f>COUNTIFS('Employee Data'!$C$2:$C$21,$A31,'Employee Data'!$J$2:$J$21,D$29)</f>
        <v>2</v>
      </c>
      <c r="E31" s="15">
        <f>SUM(B31:D31)</f>
        <v>6</v>
      </c>
    </row>
    <row r="32" spans="1:6" x14ac:dyDescent="0.35">
      <c r="A32" s="14" t="s">
        <v>110</v>
      </c>
      <c r="B32" s="15">
        <f>COUNTIFS('Employee Data'!$C$2:$C$21,$A32,'Employee Data'!$J$2:$J$21,B$29)</f>
        <v>1</v>
      </c>
      <c r="C32" s="15">
        <f>COUNTIFS('Employee Data'!$C$2:$C$21,$A32,'Employee Data'!$J$2:$J$21,C$29)</f>
        <v>3</v>
      </c>
      <c r="D32" s="15">
        <f>COUNTIFS('Employee Data'!$C$2:$C$21,$A32,'Employee Data'!$J$2:$J$21,D$29)</f>
        <v>1</v>
      </c>
      <c r="E32" s="15">
        <f>SUM(B32:D32)</f>
        <v>5</v>
      </c>
    </row>
    <row r="33" spans="1:6" x14ac:dyDescent="0.35">
      <c r="A33" s="14" t="s">
        <v>113</v>
      </c>
      <c r="B33" s="15">
        <f>COUNTIFS('Employee Data'!$C$2:$C$21,$A33,'Employee Data'!$J$2:$J$21,B$29)</f>
        <v>1</v>
      </c>
      <c r="C33" s="15">
        <f>COUNTIFS('Employee Data'!$C$2:$C$21,$A33,'Employee Data'!$J$2:$J$21,C$29)</f>
        <v>1</v>
      </c>
      <c r="D33" s="15">
        <f>COUNTIFS('Employee Data'!$C$2:$C$21,$A33,'Employee Data'!$J$2:$J$21,D$29)</f>
        <v>1</v>
      </c>
      <c r="E33" s="15">
        <f>SUM(B33:D33)</f>
        <v>3</v>
      </c>
    </row>
    <row r="34" spans="1:6" x14ac:dyDescent="0.35">
      <c r="A34" s="2" t="s">
        <v>136</v>
      </c>
      <c r="B34" s="25">
        <f>SUM(B30:B33)</f>
        <v>6</v>
      </c>
      <c r="C34" s="25">
        <f>SUM(C30:C33)</f>
        <v>8</v>
      </c>
      <c r="D34" s="25">
        <f>SUM(D30:D33)</f>
        <v>6</v>
      </c>
      <c r="E34" s="25">
        <f>SUM(E30:E33)</f>
        <v>20</v>
      </c>
    </row>
    <row r="36" spans="1:6" x14ac:dyDescent="0.35">
      <c r="A36" s="29" t="s">
        <v>173</v>
      </c>
      <c r="B36" s="29"/>
      <c r="C36" s="29"/>
    </row>
    <row r="37" spans="1:6" x14ac:dyDescent="0.35">
      <c r="A37" s="2" t="s">
        <v>39</v>
      </c>
      <c r="B37" s="2" t="s">
        <v>141</v>
      </c>
      <c r="C37" s="2" t="s">
        <v>142</v>
      </c>
    </row>
    <row r="38" spans="1:6" x14ac:dyDescent="0.35">
      <c r="A38" s="6" t="s">
        <v>40</v>
      </c>
      <c r="B38" s="15">
        <f>COUNTIF('Students Grade'!$I$2:$I$21,$A38)</f>
        <v>10</v>
      </c>
      <c r="C38" s="24">
        <f>B38/$B$43</f>
        <v>0.5</v>
      </c>
    </row>
    <row r="39" spans="1:6" x14ac:dyDescent="0.35">
      <c r="A39" s="6" t="s">
        <v>41</v>
      </c>
      <c r="B39" s="15">
        <f>COUNTIF('Students Grade'!$I$2:$I$21,$A39)</f>
        <v>5</v>
      </c>
      <c r="C39" s="24">
        <f>B39/$B$43</f>
        <v>0.25</v>
      </c>
    </row>
    <row r="40" spans="1:6" x14ac:dyDescent="0.35">
      <c r="A40" s="6" t="s">
        <v>42</v>
      </c>
      <c r="B40" s="15">
        <f>COUNTIF('Students Grade'!$I$2:$I$21,$A40)</f>
        <v>1</v>
      </c>
      <c r="C40" s="24">
        <f>B40/$B$43</f>
        <v>0.05</v>
      </c>
    </row>
    <row r="41" spans="1:6" x14ac:dyDescent="0.35">
      <c r="A41" s="6" t="s">
        <v>43</v>
      </c>
      <c r="B41" s="15">
        <f>COUNTIF('Students Grade'!$I$2:$I$21,$A41)</f>
        <v>4</v>
      </c>
      <c r="C41" s="24">
        <f>B41/$B$43</f>
        <v>0.2</v>
      </c>
    </row>
    <row r="42" spans="1:6" x14ac:dyDescent="0.35">
      <c r="A42" s="6" t="s">
        <v>44</v>
      </c>
      <c r="B42" s="15">
        <f>COUNTIF('Students Grade'!$I$2:$I$21,$A42)</f>
        <v>0</v>
      </c>
      <c r="C42" s="24">
        <f>B42/$B$43</f>
        <v>0</v>
      </c>
    </row>
    <row r="43" spans="1:6" x14ac:dyDescent="0.35">
      <c r="A43" s="2" t="s">
        <v>136</v>
      </c>
      <c r="B43" s="25">
        <f>SUM(B38:B42)</f>
        <v>20</v>
      </c>
      <c r="C43" s="26">
        <f>SUM(C38:C42)</f>
        <v>1</v>
      </c>
    </row>
    <row r="46" spans="1:6" x14ac:dyDescent="0.35">
      <c r="A46" s="29" t="s">
        <v>174</v>
      </c>
      <c r="B46" s="29"/>
      <c r="C46" s="29"/>
      <c r="D46" s="29"/>
      <c r="E46" s="29"/>
      <c r="F46" s="29"/>
    </row>
    <row r="47" spans="1:6" ht="30" customHeight="1" x14ac:dyDescent="0.35">
      <c r="A47" s="2" t="s">
        <v>143</v>
      </c>
      <c r="B47" s="2" t="s">
        <v>7</v>
      </c>
      <c r="C47" s="2" t="s">
        <v>144</v>
      </c>
      <c r="D47" s="2" t="s">
        <v>145</v>
      </c>
      <c r="E47" s="2" t="s">
        <v>146</v>
      </c>
      <c r="F47" s="2" t="s">
        <v>147</v>
      </c>
    </row>
    <row r="48" spans="1:6" x14ac:dyDescent="0.35">
      <c r="A48" s="14" t="s">
        <v>2</v>
      </c>
      <c r="B48" s="21">
        <f>AVERAGE('Students Grade'!$C$2:$C$21)</f>
        <v>80.2</v>
      </c>
      <c r="C48" s="15">
        <f>MAX('Students Grade'!$C$2:$C$21)</f>
        <v>98</v>
      </c>
      <c r="D48" s="15">
        <f>MIN('Students Grade'!$C$2:$C$21)</f>
        <v>41</v>
      </c>
      <c r="E48" s="15">
        <f>COUNTIF('Students Grade'!$C$2:$C$21,"&gt;="&amp;'Students Grade'!$V$12)</f>
        <v>0</v>
      </c>
      <c r="F48" s="24">
        <f>E48/COUNT('Students Grade'!$C$2:$C$21)</f>
        <v>0</v>
      </c>
    </row>
    <row r="49" spans="1:6" x14ac:dyDescent="0.35">
      <c r="A49" s="14" t="s">
        <v>3</v>
      </c>
      <c r="B49" s="21">
        <f>AVERAGE('Students Grade'!$D$2:$D$21)</f>
        <v>66.45</v>
      </c>
      <c r="C49" s="15">
        <f>MAX('Students Grade'!$D$2:$D$21)</f>
        <v>92</v>
      </c>
      <c r="D49" s="15">
        <f>MIN('Students Grade'!$D$2:$D$21)</f>
        <v>40</v>
      </c>
      <c r="E49" s="15">
        <f>COUNTIF('Students Grade'!$D$2:$D$21,"&gt;="&amp;'Students Grade'!$V$12)</f>
        <v>0</v>
      </c>
      <c r="F49" s="24">
        <f>E49/COUNT('Students Grade'!$D$2:$D$21)</f>
        <v>0</v>
      </c>
    </row>
    <row r="50" spans="1:6" x14ac:dyDescent="0.35">
      <c r="A50" s="14" t="s">
        <v>4</v>
      </c>
      <c r="B50" s="21">
        <f>AVERAGE('Students Grade'!$E$2:$E$21)</f>
        <v>64.5</v>
      </c>
      <c r="C50" s="15">
        <f>MAX('Students Grade'!$E$2:$E$21)</f>
        <v>97</v>
      </c>
      <c r="D50" s="15">
        <f>MIN('Students Grade'!$E$2:$E$21)</f>
        <v>40</v>
      </c>
      <c r="E50" s="15">
        <f>COUNTIF('Students Grade'!$E$2:$E$21,"&gt;="&amp;'Students Grade'!$V$12)</f>
        <v>0</v>
      </c>
      <c r="F50" s="24">
        <f>E50/COUNT('Students Grade'!$E$2:$E$21)</f>
        <v>0</v>
      </c>
    </row>
  </sheetData>
  <mergeCells count="6">
    <mergeCell ref="A28:E28"/>
    <mergeCell ref="A36:C36"/>
    <mergeCell ref="A46:F46"/>
    <mergeCell ref="A3:G3"/>
    <mergeCell ref="A11:G11"/>
    <mergeCell ref="A20:F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showGridLines="0" workbookViewId="0">
      <selection activeCell="H2" sqref="H2"/>
    </sheetView>
  </sheetViews>
  <sheetFormatPr defaultRowHeight="14.5" x14ac:dyDescent="0.35"/>
  <cols>
    <col min="1" max="1" width="36.7265625" customWidth="1"/>
    <col min="2" max="2" width="20.7265625" customWidth="1"/>
    <col min="3" max="3" width="3.7265625" customWidth="1"/>
    <col min="4" max="18" width="10.26953125" customWidth="1"/>
  </cols>
  <sheetData>
    <row r="1" spans="1:17" ht="21" x14ac:dyDescent="0.4">
      <c r="A1" s="27" t="s">
        <v>148</v>
      </c>
      <c r="B1" s="28"/>
      <c r="D1" s="30" t="s">
        <v>175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3" spans="1:17" x14ac:dyDescent="0.35">
      <c r="A3" s="29" t="s">
        <v>149</v>
      </c>
      <c r="B3" s="29"/>
    </row>
    <row r="4" spans="1:17" x14ac:dyDescent="0.35">
      <c r="A4" s="8" t="s">
        <v>150</v>
      </c>
      <c r="B4" s="12">
        <f>SUM('Sales Data'!E2:E21)</f>
        <v>507725</v>
      </c>
    </row>
    <row r="5" spans="1:17" x14ac:dyDescent="0.35">
      <c r="A5" s="8" t="s">
        <v>151</v>
      </c>
      <c r="B5" s="9">
        <f>COUNT('Sales Data'!E2:E21)</f>
        <v>20</v>
      </c>
    </row>
    <row r="6" spans="1:17" x14ac:dyDescent="0.35">
      <c r="A6" s="8" t="s">
        <v>152</v>
      </c>
      <c r="B6" s="12">
        <f>AVERAGE('Sales Data'!E2:E21)</f>
        <v>25386.25</v>
      </c>
    </row>
    <row r="7" spans="1:17" x14ac:dyDescent="0.35">
      <c r="A7" s="8" t="s">
        <v>153</v>
      </c>
      <c r="B7" s="12">
        <f>MAX('Sales Data'!E2:E21)</f>
        <v>46429</v>
      </c>
    </row>
    <row r="8" spans="1:17" x14ac:dyDescent="0.35">
      <c r="A8" s="8" t="s">
        <v>154</v>
      </c>
      <c r="B8" s="12">
        <f>SUM('Sales Data'!I2:I21)</f>
        <v>67333.340000000011</v>
      </c>
    </row>
    <row r="9" spans="1:17" x14ac:dyDescent="0.35">
      <c r="A9" s="8" t="s">
        <v>155</v>
      </c>
      <c r="B9" s="12">
        <f>SUM('Sales Data'!J2:J21)</f>
        <v>440391.66</v>
      </c>
    </row>
    <row r="10" spans="1:17" x14ac:dyDescent="0.35">
      <c r="A10" s="8" t="s">
        <v>156</v>
      </c>
      <c r="B10" s="11" t="str">
        <f>INDEX('Pivot Tables'!A22:A25,MATCH(MAX('Pivot Tables'!C22:C25),'Pivot Tables'!C22:C25,0))</f>
        <v>East</v>
      </c>
    </row>
    <row r="11" spans="1:17" x14ac:dyDescent="0.35">
      <c r="A11" s="8" t="s">
        <v>157</v>
      </c>
      <c r="B11" s="11" t="str">
        <f>INDEX('Pivot Tables'!A13:A17,MATCH(MAX('Pivot Tables'!C13:C17),'Pivot Tables'!C13:C17,0))</f>
        <v>Keyboard</v>
      </c>
    </row>
    <row r="12" spans="1:17" x14ac:dyDescent="0.35">
      <c r="A12" s="8" t="s">
        <v>158</v>
      </c>
      <c r="B12" s="11" t="str">
        <f>INDEX('Sales Data'!D2:D21,MATCH(MAX('Sales Data'!E2:E21),'Sales Data'!E2:E21,0))</f>
        <v>Person 8</v>
      </c>
    </row>
    <row r="13" spans="1:17" x14ac:dyDescent="0.35">
      <c r="A13" s="8" t="s">
        <v>159</v>
      </c>
      <c r="B13" s="9">
        <f>COUNTIF('Sales Data'!K2:K21,"Yes")</f>
        <v>8</v>
      </c>
    </row>
    <row r="15" spans="1:17" x14ac:dyDescent="0.35">
      <c r="A15" s="29" t="s">
        <v>160</v>
      </c>
      <c r="B15" s="29"/>
    </row>
    <row r="16" spans="1:17" x14ac:dyDescent="0.35">
      <c r="A16" s="8" t="s">
        <v>130</v>
      </c>
      <c r="B16" s="9">
        <f>COUNTA('Employee Data'!A2:A21)</f>
        <v>20</v>
      </c>
    </row>
    <row r="17" spans="1:2" x14ac:dyDescent="0.35">
      <c r="A17" s="8" t="s">
        <v>133</v>
      </c>
      <c r="B17" s="12">
        <f>SUM('Employee Data'!D2:D21)</f>
        <v>1586798</v>
      </c>
    </row>
    <row r="18" spans="1:2" x14ac:dyDescent="0.35">
      <c r="A18" s="8" t="s">
        <v>131</v>
      </c>
      <c r="B18" s="12">
        <f>AVERAGE('Employee Data'!D2:D21)</f>
        <v>79339.899999999994</v>
      </c>
    </row>
    <row r="19" spans="1:2" x14ac:dyDescent="0.35">
      <c r="A19" s="8" t="s">
        <v>132</v>
      </c>
      <c r="B19" s="12">
        <f>MAX('Employee Data'!D2:D21)</f>
        <v>116284</v>
      </c>
    </row>
    <row r="20" spans="1:2" x14ac:dyDescent="0.35">
      <c r="A20" s="8" t="s">
        <v>161</v>
      </c>
      <c r="B20" s="11" t="str">
        <f>INDEX('Employee Data'!B2:B21,MATCH(MAX('Employee Data'!D2:D21),'Employee Data'!D2:D21,0))</f>
        <v>Employee 18</v>
      </c>
    </row>
    <row r="21" spans="1:2" x14ac:dyDescent="0.35">
      <c r="A21" s="8" t="s">
        <v>162</v>
      </c>
      <c r="B21" s="9">
        <f>COUNTIF('Employee Data'!J2:J21,"High")</f>
        <v>6</v>
      </c>
    </row>
    <row r="23" spans="1:2" x14ac:dyDescent="0.35">
      <c r="A23" s="29" t="s">
        <v>141</v>
      </c>
      <c r="B23" s="29"/>
    </row>
    <row r="24" spans="1:2" x14ac:dyDescent="0.35">
      <c r="A24" s="8" t="s">
        <v>163</v>
      </c>
      <c r="B24" s="9">
        <f>COUNTA('Students Grade'!A2:A21)</f>
        <v>20</v>
      </c>
    </row>
    <row r="25" spans="1:2" x14ac:dyDescent="0.35">
      <c r="A25" s="8" t="s">
        <v>164</v>
      </c>
      <c r="B25" s="10">
        <f>'Pivot Tables'!B48</f>
        <v>80.2</v>
      </c>
    </row>
    <row r="26" spans="1:2" x14ac:dyDescent="0.35">
      <c r="A26" s="8" t="s">
        <v>165</v>
      </c>
      <c r="B26" s="10">
        <f>'Pivot Tables'!B49</f>
        <v>66.45</v>
      </c>
    </row>
    <row r="27" spans="1:2" x14ac:dyDescent="0.35">
      <c r="A27" s="8" t="s">
        <v>166</v>
      </c>
      <c r="B27" s="10">
        <f>'Pivot Tables'!B50</f>
        <v>64.5</v>
      </c>
    </row>
    <row r="28" spans="1:2" x14ac:dyDescent="0.35">
      <c r="A28" s="8" t="s">
        <v>167</v>
      </c>
      <c r="B28" s="11" t="str">
        <f>INDEX('Pivot Tables'!A48:A50,MATCH(MAX('Pivot Tables'!B48:B50),'Pivot Tables'!B48:B50,0))</f>
        <v>Math</v>
      </c>
    </row>
    <row r="29" spans="1:2" x14ac:dyDescent="0.35">
      <c r="A29" s="8" t="s">
        <v>168</v>
      </c>
      <c r="B29" s="11" t="str">
        <f>INDEX('Students Grade'!B2:B21,MATCH(MAX('Students Grade'!H2:H21),'Students Grade'!H2:H21,0))</f>
        <v>Student 13</v>
      </c>
    </row>
    <row r="30" spans="1:2" x14ac:dyDescent="0.35">
      <c r="A30" s="8" t="s">
        <v>169</v>
      </c>
      <c r="B30" s="10">
        <f>MAX('Students Grade'!H2:H21)</f>
        <v>95</v>
      </c>
    </row>
    <row r="33" ht="44" customHeight="1" x14ac:dyDescent="0.35"/>
    <row r="34" ht="44" customHeight="1" x14ac:dyDescent="0.35"/>
    <row r="35" ht="44" customHeight="1" x14ac:dyDescent="0.35"/>
    <row r="36" ht="44" customHeight="1" x14ac:dyDescent="0.35"/>
    <row r="37" ht="44" customHeight="1" x14ac:dyDescent="0.35"/>
  </sheetData>
  <mergeCells count="4">
    <mergeCell ref="D1:Q1"/>
    <mergeCell ref="A3:B3"/>
    <mergeCell ref="A15:B15"/>
    <mergeCell ref="A23:B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 Grade</vt:lpstr>
      <vt:lpstr>Sales Data</vt:lpstr>
      <vt:lpstr>Employee Data</vt:lpstr>
      <vt:lpstr>Pivot Tables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</cp:lastModifiedBy>
  <dcterms:created xsi:type="dcterms:W3CDTF">2026-10-17T07:17:09Z</dcterms:created>
  <dcterms:modified xsi:type="dcterms:W3CDTF">2026-10-17T10:21:09Z</dcterms:modified>
</cp:coreProperties>
</file>