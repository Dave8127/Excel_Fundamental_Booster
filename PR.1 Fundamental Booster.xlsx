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\Desktop\RWn\Excel\Fundamental booster\"/>
    </mc:Choice>
  </mc:AlternateContent>
  <bookViews>
    <workbookView xWindow="0" yWindow="0" windowWidth="19200" windowHeight="6930" activeTab="4"/>
  </bookViews>
  <sheets>
    <sheet name="Student" sheetId="3" r:id="rId1"/>
    <sheet name="Sales" sheetId="2" r:id="rId2"/>
    <sheet name="Employee" sheetId="1" r:id="rId3"/>
    <sheet name="Pivot-Table" sheetId="4" r:id="rId4"/>
    <sheet name="Analysis" sheetId="6" r:id="rId5"/>
  </sheets>
  <calcPr calcId="162913"/>
  <pivotCaches>
    <pivotCache cacheId="5" r:id="rId6"/>
    <pivotCache cacheId="9" r:id="rId7"/>
    <pivotCache cacheId="15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6" l="1"/>
  <c r="B23" i="6"/>
  <c r="B22" i="6"/>
  <c r="B21" i="6"/>
  <c r="B20" i="6"/>
  <c r="B17" i="6"/>
  <c r="B16" i="6"/>
  <c r="B15" i="6"/>
  <c r="B14" i="6"/>
  <c r="B13" i="6"/>
  <c r="B10" i="6"/>
  <c r="B9" i="6"/>
  <c r="B8" i="6"/>
  <c r="B7" i="6"/>
  <c r="B6" i="6"/>
  <c r="B5" i="6"/>
  <c r="B4" i="6"/>
  <c r="O16" i="1" l="1"/>
  <c r="O17" i="1"/>
  <c r="O18" i="1"/>
  <c r="O19" i="1"/>
  <c r="O20" i="1"/>
  <c r="O2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3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N2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" i="3"/>
  <c r="K21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" i="3"/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" i="3"/>
  <c r="I3" i="3"/>
  <c r="I8" i="3"/>
  <c r="I9" i="3"/>
  <c r="I10" i="3"/>
  <c r="I11" i="3"/>
  <c r="I16" i="3"/>
  <c r="I17" i="3"/>
  <c r="I18" i="3"/>
  <c r="I19" i="3"/>
  <c r="H3" i="3"/>
  <c r="H4" i="3"/>
  <c r="H5" i="3"/>
  <c r="H6" i="3"/>
  <c r="I6" i="3" s="1"/>
  <c r="H7" i="3"/>
  <c r="H8" i="3"/>
  <c r="H9" i="3"/>
  <c r="H10" i="3"/>
  <c r="H11" i="3"/>
  <c r="H12" i="3"/>
  <c r="H13" i="3"/>
  <c r="H14" i="3"/>
  <c r="I14" i="3" s="1"/>
  <c r="H15" i="3"/>
  <c r="H16" i="3"/>
  <c r="H17" i="3"/>
  <c r="H18" i="3"/>
  <c r="H19" i="3"/>
  <c r="H20" i="3"/>
  <c r="H21" i="3"/>
  <c r="H2" i="3"/>
  <c r="I2" i="3" s="1"/>
  <c r="G17" i="3"/>
  <c r="G18" i="3"/>
  <c r="G19" i="3"/>
  <c r="G20" i="3"/>
  <c r="G21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2" i="3"/>
  <c r="R21" i="3" l="1"/>
  <c r="Q21" i="3"/>
  <c r="P21" i="3"/>
  <c r="S21" i="3"/>
  <c r="P13" i="3"/>
  <c r="S13" i="3"/>
  <c r="R13" i="3"/>
  <c r="Q13" i="3"/>
  <c r="S5" i="3"/>
  <c r="R5" i="3"/>
  <c r="P5" i="3"/>
  <c r="Q5" i="3"/>
  <c r="S11" i="3"/>
  <c r="Q11" i="3"/>
  <c r="R11" i="3"/>
  <c r="P11" i="3"/>
  <c r="R10" i="3"/>
  <c r="P10" i="3"/>
  <c r="Q10" i="3"/>
  <c r="S10" i="3"/>
  <c r="R15" i="3"/>
  <c r="S15" i="3"/>
  <c r="Q15" i="3"/>
  <c r="P15" i="3"/>
  <c r="P7" i="3"/>
  <c r="S7" i="3"/>
  <c r="Q7" i="3"/>
  <c r="R7" i="3"/>
  <c r="R3" i="3"/>
  <c r="P3" i="3"/>
  <c r="S3" i="3"/>
  <c r="Q3" i="3"/>
  <c r="R18" i="3"/>
  <c r="P18" i="3"/>
  <c r="S18" i="3"/>
  <c r="Q18" i="3"/>
  <c r="R17" i="3"/>
  <c r="S17" i="3"/>
  <c r="Q17" i="3"/>
  <c r="P17" i="3"/>
  <c r="S9" i="3"/>
  <c r="Q9" i="3"/>
  <c r="R9" i="3"/>
  <c r="P9" i="3"/>
  <c r="I21" i="3"/>
  <c r="I13" i="3"/>
  <c r="I5" i="3"/>
  <c r="S2" i="3"/>
  <c r="Q2" i="3"/>
  <c r="R2" i="3"/>
  <c r="P2" i="3"/>
  <c r="S14" i="3"/>
  <c r="Q14" i="3"/>
  <c r="P14" i="3"/>
  <c r="R14" i="3"/>
  <c r="S6" i="3"/>
  <c r="Q6" i="3"/>
  <c r="P6" i="3"/>
  <c r="R6" i="3"/>
  <c r="Q20" i="3"/>
  <c r="S20" i="3"/>
  <c r="R20" i="3"/>
  <c r="P20" i="3"/>
  <c r="S12" i="3"/>
  <c r="Q12" i="3"/>
  <c r="R12" i="3"/>
  <c r="P12" i="3"/>
  <c r="R4" i="3"/>
  <c r="P4" i="3"/>
  <c r="S4" i="3"/>
  <c r="Q4" i="3"/>
  <c r="R19" i="3"/>
  <c r="P19" i="3"/>
  <c r="Q19" i="3"/>
  <c r="S19" i="3"/>
  <c r="I15" i="3"/>
  <c r="I7" i="3"/>
  <c r="R16" i="3"/>
  <c r="P16" i="3"/>
  <c r="S16" i="3"/>
  <c r="Q16" i="3"/>
  <c r="R8" i="3"/>
  <c r="S8" i="3"/>
  <c r="Q8" i="3"/>
  <c r="P8" i="3"/>
  <c r="I20" i="3"/>
  <c r="I12" i="3"/>
  <c r="I4" i="3"/>
</calcChain>
</file>

<file path=xl/sharedStrings.xml><?xml version="1.0" encoding="utf-8"?>
<sst xmlns="http://schemas.openxmlformats.org/spreadsheetml/2006/main" count="256" uniqueCount="172">
  <si>
    <t>Employee ID</t>
  </si>
  <si>
    <t>Name</t>
  </si>
  <si>
    <t>Department</t>
  </si>
  <si>
    <t>Salary</t>
  </si>
  <si>
    <t>Joining Date</t>
  </si>
  <si>
    <t>Status</t>
  </si>
  <si>
    <t>Tenure (Years)</t>
  </si>
  <si>
    <t>Joining Date (Long)</t>
  </si>
  <si>
    <t>Joining Weekday</t>
  </si>
  <si>
    <t>Salary Band (Nested IF)</t>
  </si>
  <si>
    <t>Bonus</t>
  </si>
  <si>
    <t>Bonus (ROUND 100)</t>
  </si>
  <si>
    <t>Name UPPER</t>
  </si>
  <si>
    <t>Days Since Joining</t>
  </si>
  <si>
    <t>Senior Track? (AND/OR)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</si>
  <si>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</si>
  <si>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</si>
  <si>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</si>
  <si>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</si>
  <si>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</si>
  <si>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</si>
  <si>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</si>
  <si>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</si>
  <si>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</si>
  <si>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</si>
  <si>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</si>
  <si>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</si>
  <si>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</si>
  <si>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</si>
  <si>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</si>
  <si>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</si>
  <si>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</si>
  <si>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</si>
  <si>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</si>
  <si>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</si>
  <si>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</si>
  <si>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</si>
  <si>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</si>
  <si>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</si>
  <si>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Sales ID</t>
  </si>
  <si>
    <t>Product</t>
  </si>
  <si>
    <t>Region</t>
  </si>
  <si>
    <t>Salesperson</t>
  </si>
  <si>
    <t>Amount</t>
  </si>
  <si>
    <t>Date</t>
  </si>
  <si>
    <t>Month</t>
  </si>
  <si>
    <t>Discount %</t>
  </si>
  <si>
    <t>Discount Amount</t>
  </si>
  <si>
    <t>Net Amount</t>
  </si>
  <si>
    <t>Discount Eligible?</t>
  </si>
  <si>
    <t>Net (ROUND 100)</t>
  </si>
  <si>
    <t>Net (CEILING 1000)</t>
  </si>
  <si>
    <t>Net (FLOOR 1000)</t>
  </si>
  <si>
    <t>Rolling 3-Sale Avg (OFFSET)</t>
  </si>
  <si>
    <t>Days Since Prev Sale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</si>
  <si>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</si>
  <si>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</si>
  <si>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</si>
  <si>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</si>
  <si>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</si>
  <si>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</si>
  <si>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</si>
  <si>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</si>
  <si>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</si>
  <si>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</si>
  <si>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</si>
  <si>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</si>
  <si>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</si>
  <si>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</si>
  <si>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</si>
  <si>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</si>
  <si>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</si>
  <si>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</si>
  <si>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</si>
  <si>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</si>
  <si>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</si>
  <si>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</si>
  <si>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</si>
  <si>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</si>
  <si>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</si>
  <si>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</si>
  <si>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</si>
  <si>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</si>
  <si>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</si>
  <si>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Student ID</t>
  </si>
  <si>
    <t>Math</t>
  </si>
  <si>
    <t>Science</t>
  </si>
  <si>
    <t>English</t>
  </si>
  <si>
    <t>Enrollment Date</t>
  </si>
  <si>
    <t>Total</t>
  </si>
  <si>
    <t>Average</t>
  </si>
  <si>
    <t>Grade (Nested IF)</t>
  </si>
  <si>
    <t>Math &amp; Science &gt; 80?</t>
  </si>
  <si>
    <t>First Name</t>
  </si>
  <si>
    <t>Name lower</t>
  </si>
  <si>
    <t>Years Since Enrollment</t>
  </si>
  <si>
    <t>Days Since Enrollment</t>
  </si>
  <si>
    <t>Avg (ROUND)</t>
  </si>
  <si>
    <t>Avg (CEILING 5)</t>
  </si>
  <si>
    <t>Avg (FLOOR 5)</t>
  </si>
  <si>
    <t>Rank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</si>
  <si>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</si>
  <si>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</si>
  <si>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</si>
  <si>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</si>
  <si>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</si>
  <si>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</si>
  <si>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</si>
  <si>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</si>
  <si>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</si>
  <si>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</si>
  <si>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</si>
  <si>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</si>
  <si>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</si>
  <si>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</si>
  <si>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</si>
  <si>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</si>
  <si>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</si>
  <si>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</si>
  <si>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</si>
  <si>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</si>
  <si>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Not Working</t>
  </si>
  <si>
    <t>Grand Total</t>
  </si>
  <si>
    <t>Sum of Amount</t>
  </si>
  <si>
    <t>Sales</t>
  </si>
  <si>
    <t xml:space="preserve">Pivot - Tables </t>
  </si>
  <si>
    <t>Sum of Net Amount</t>
  </si>
  <si>
    <t>Sum of Discount Amount</t>
  </si>
  <si>
    <t>Amounts</t>
  </si>
  <si>
    <t>Discount Amounts</t>
  </si>
  <si>
    <t>Net Amounts</t>
  </si>
  <si>
    <t>Products</t>
  </si>
  <si>
    <t>Sum Of Sales, Discount and Net Amount By Product</t>
  </si>
  <si>
    <t>Sum Of Sales by Product and Region</t>
  </si>
  <si>
    <t>Sum Of Sales,Discount And Net Amount By Region</t>
  </si>
  <si>
    <t>Entry</t>
  </si>
  <si>
    <t>High</t>
  </si>
  <si>
    <t>Mid</t>
  </si>
  <si>
    <t>Salary Band</t>
  </si>
  <si>
    <t>Sum Of Salary By Department &amp; Salary Band</t>
  </si>
  <si>
    <t>A</t>
  </si>
  <si>
    <t>B</t>
  </si>
  <si>
    <t>C</t>
  </si>
  <si>
    <t>D</t>
  </si>
  <si>
    <t>Count of Name</t>
  </si>
  <si>
    <t>Sum of Rank</t>
  </si>
  <si>
    <t>Count Of Student By Grade</t>
  </si>
  <si>
    <t>Grades</t>
  </si>
  <si>
    <t>Number Of Student</t>
  </si>
  <si>
    <t>Sum of Average</t>
  </si>
  <si>
    <t>Student Rank By Average According To ID</t>
  </si>
  <si>
    <t>Total sales</t>
  </si>
  <si>
    <t>Number of sales</t>
  </si>
  <si>
    <t>Average sale</t>
  </si>
  <si>
    <t>Largest sale</t>
  </si>
  <si>
    <t>Total discount given</t>
  </si>
  <si>
    <t>Net revenue after discount</t>
  </si>
  <si>
    <t>Sales eligible for discount</t>
  </si>
  <si>
    <t>Analysis - Sales , Student &amp; Employee</t>
  </si>
  <si>
    <t>Charts</t>
  </si>
  <si>
    <t>Employees</t>
  </si>
  <si>
    <t>Headcount</t>
  </si>
  <si>
    <t>Total payroll</t>
  </si>
  <si>
    <t>Average salary</t>
  </si>
  <si>
    <t>Highest salary</t>
  </si>
  <si>
    <t>Employees in High band</t>
  </si>
  <si>
    <t>Students</t>
  </si>
  <si>
    <t>Number of students</t>
  </si>
  <si>
    <t>Average Math</t>
  </si>
  <si>
    <t>Average Science</t>
  </si>
  <si>
    <t>Average English</t>
  </si>
  <si>
    <t>Top student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</si>
</sst>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-mmm\-yyyy"/>
    <numFmt numFmtId="165" formatCode="\₹#,##0"/>
    <numFmt numFmtId="167" formatCode="&quot;₹&quot;\ #,##0.0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4" fillId="0" borderId="0" xfId="0" applyFont="1"/>
    <xf numFmtId="0" fontId="0" fillId="0" borderId="1" xfId="0" pivotButton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2" xfId="0" pivotButton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/>
    </xf>
    <xf numFmtId="0" fontId="5" fillId="4" borderId="0" xfId="0" applyFont="1" applyFill="1" applyAlignment="1">
      <alignment horizontal="left"/>
    </xf>
    <xf numFmtId="0" fontId="6" fillId="5" borderId="0" xfId="0" applyFont="1" applyFill="1" applyAlignment="1">
      <alignment horizontal="left"/>
    </xf>
    <xf numFmtId="0" fontId="2" fillId="7" borderId="1" xfId="0" applyFont="1" applyFill="1" applyBorder="1"/>
    <xf numFmtId="0" fontId="1" fillId="8" borderId="1" xfId="0" applyFont="1" applyFill="1" applyBorder="1"/>
    <xf numFmtId="0" fontId="6" fillId="5" borderId="0" xfId="0" applyFont="1" applyFill="1" applyAlignment="1">
      <alignment horizontal="left"/>
    </xf>
    <xf numFmtId="167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8" fillId="7" borderId="1" xfId="0" applyFont="1" applyFill="1" applyBorder="1"/>
    <xf numFmtId="0" fontId="2" fillId="7" borderId="3" xfId="0" applyFont="1" applyFill="1" applyBorder="1"/>
    <xf numFmtId="0" fontId="2" fillId="7" borderId="4" xfId="0" applyFont="1" applyFill="1" applyBorder="1"/>
    <xf numFmtId="2" fontId="0" fillId="9" borderId="1" xfId="0" applyNumberForma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/>
    </xf>
  </cellXfs>
  <cellStyles count="1">
    <cellStyle name="Normal" xfId="0" builtinId="0"/>
  </cellStyles>
  <dxfs count="133">
    <dxf>
      <numFmt numFmtId="2" formatCode="0.00"/>
    </dxf>
    <dxf>
      <numFmt numFmtId="34" formatCode="_ &quot;₹&quot;\ * #,##0.00_ ;_ &quot;₹&quot;\ * \-#,##0.00_ ;_ &quot;₹&quot;\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0" formatCode="General"/>
    </dxf>
    <dxf>
      <numFmt numFmtId="167" formatCode="&quot;₹&quot;\ #,##0.00"/>
    </dxf>
    <dxf>
      <numFmt numFmtId="167" formatCode="&quot;₹&quot;\ #,##0.00"/>
    </dxf>
    <dxf>
      <numFmt numFmtId="167" formatCode="&quot;₹&quot;\ #,##0.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&quot;₹&quot;\ #,##0.00"/>
    </dxf>
    <dxf>
      <alignment horizontal="center" readingOrder="0"/>
    </dxf>
    <dxf>
      <alignment vertical="center" readingOrder="0"/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[Book1.xlsx]Pivot-Table!PivotTable1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'Pivot-Table'!$B$4:$B$5</c:f>
              <c:strCache>
                <c:ptCount val="1"/>
                <c:pt idx="0">
                  <c:v>Keyboard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'Pivot-Table'!$A$6:$A$10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'Pivot-Table'!$B$6:$B$10</c:f>
              <c:numCache>
                <c:formatCode>"₹"\ #,##0.00</c:formatCode>
                <c:ptCount val="4"/>
                <c:pt idx="0">
                  <c:v>80349</c:v>
                </c:pt>
                <c:pt idx="1">
                  <c:v>43388</c:v>
                </c:pt>
                <c:pt idx="2">
                  <c:v>42233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3-4493-AB84-951EE51400AD}"/>
            </c:ext>
          </c:extLst>
        </c:ser>
        <c:ser>
          <c:idx val="1"/>
          <c:order val="1"/>
          <c:tx>
            <c:strRef>
              <c:f>'Pivot-Table'!$C$4:$C$5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'Pivot-Table'!$A$6:$A$10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'Pivot-Table'!$C$6:$C$10</c:f>
              <c:numCache>
                <c:formatCode>"₹"\ #,##0.00</c:formatCode>
                <c:ptCount val="4"/>
                <c:pt idx="0">
                  <c:v>31238</c:v>
                </c:pt>
                <c:pt idx="2">
                  <c:v>7283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33-4493-AB84-951EE51400AD}"/>
            </c:ext>
          </c:extLst>
        </c:ser>
        <c:ser>
          <c:idx val="2"/>
          <c:order val="2"/>
          <c:tx>
            <c:strRef>
              <c:f>'Pivot-Table'!$D$4:$D$5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'Pivot-Table'!$A$6:$A$10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'Pivot-Table'!$D$6:$D$10</c:f>
              <c:numCache>
                <c:formatCode>"₹"\ #,##0.00</c:formatCode>
                <c:ptCount val="4"/>
                <c:pt idx="1">
                  <c:v>77482</c:v>
                </c:pt>
                <c:pt idx="3">
                  <c:v>38161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33-4493-AB84-951EE51400AD}"/>
            </c:ext>
          </c:extLst>
        </c:ser>
        <c:ser>
          <c:idx val="3"/>
          <c:order val="3"/>
          <c:tx>
            <c:strRef>
              <c:f>'Pivot-Table'!$E$4:$E$5</c:f>
              <c:strCache>
                <c:ptCount val="1"/>
                <c:pt idx="0">
                  <c:v>Mouse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'Pivot-Table'!$A$6:$A$10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'Pivot-Table'!$E$6:$E$10</c:f>
              <c:numCache>
                <c:formatCode>"₹"\ #,##0.00</c:formatCode>
                <c:ptCount val="4"/>
                <c:pt idx="0">
                  <c:v>37335</c:v>
                </c:pt>
                <c:pt idx="1">
                  <c:v>19757</c:v>
                </c:pt>
                <c:pt idx="2">
                  <c:v>23672</c:v>
                </c:pt>
                <c:pt idx="3">
                  <c:v>30436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33-4493-AB84-951EE51400AD}"/>
            </c:ext>
          </c:extLst>
        </c:ser>
        <c:ser>
          <c:idx val="4"/>
          <c:order val="4"/>
          <c:tx>
            <c:strRef>
              <c:f>'Pivot-Table'!$F$4:$F$5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'Pivot-Table'!$A$6:$A$10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'Pivot-Table'!$F$6:$F$10</c:f>
              <c:numCache>
                <c:formatCode>"₹"\ #,##0.00</c:formatCode>
                <c:ptCount val="4"/>
                <c:pt idx="0">
                  <c:v>25010</c:v>
                </c:pt>
                <c:pt idx="3">
                  <c:v>51381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33-4493-AB84-951EE5140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3758016"/>
        <c:axId val="1445733712"/>
      </c:barChart>
      <c:catAx>
        <c:axId val="124375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733712"/>
        <c:crosses val="autoZero"/>
        <c:auto val="1"/>
        <c:lblAlgn val="ctr"/>
        <c:lblOffset val="100"/>
        <c:noMultiLvlLbl val="0"/>
      </c:catAx>
      <c:valAx>
        <c:axId val="144573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75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[Book1.xlsx]Pivot-Table!PivotTable2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'Pivot-Table'!$B$13</c:f>
              <c:strCache>
                <c:ptCount val="1"/>
                <c:pt idx="0">
                  <c:v>Amounts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'Pivot-Table'!$A$14:$A$19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Printer</c:v>
                </c:pt>
              </c:strCache>
            </c:strRef>
          </c:cat>
          <c:val>
            <c:numRef>
              <c:f>'Pivot-Table'!$B$14:$B$19</c:f>
              <c:numCache>
                <c:formatCode>"₹"\ #,##0.00</c:formatCode>
                <c:ptCount val="5"/>
                <c:pt idx="0">
                  <c:v>165970</c:v>
                </c:pt>
                <c:pt idx="1">
                  <c:v>38521</c:v>
                </c:pt>
                <c:pt idx="2">
                  <c:v>115643</c:v>
                </c:pt>
                <c:pt idx="3">
                  <c:v>111200</c:v>
                </c:pt>
                <c:pt idx="4">
                  <c:v>76391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CC-43C5-8ECE-175ED1EA884D}"/>
            </c:ext>
          </c:extLst>
        </c:ser>
        <c:ser>
          <c:idx val="1"/>
          <c:order val="1"/>
          <c:tx>
            <c:strRef>
              <c:f>'Pivot-Table'!$C$13</c:f>
              <c:strCache>
                <c:ptCount val="1"/>
                <c:pt idx="0">
                  <c:v>Discount Amounts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'Pivot-Table'!$A$14:$A$19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Printer</c:v>
                </c:pt>
              </c:strCache>
            </c:strRef>
          </c:cat>
          <c:val>
            <c:numRef>
              <c:f>'Pivot-Table'!$C$14:$C$19</c:f>
              <c:numCache>
                <c:formatCode>"₹"\ #,##0.00</c:formatCode>
                <c:ptCount val="5"/>
                <c:pt idx="0">
                  <c:v>23979.26</c:v>
                </c:pt>
                <c:pt idx="1">
                  <c:v>3269.46</c:v>
                </c:pt>
                <c:pt idx="2">
                  <c:v>17346.449999999997</c:v>
                </c:pt>
                <c:pt idx="3">
                  <c:v>13822.54</c:v>
                </c:pt>
                <c:pt idx="4">
                  <c:v>8915.630000000001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CC-43C5-8ECE-175ED1EA884D}"/>
            </c:ext>
          </c:extLst>
        </c:ser>
        <c:ser>
          <c:idx val="2"/>
          <c:order val="2"/>
          <c:tx>
            <c:strRef>
              <c:f>'Pivot-Table'!$D$13</c:f>
              <c:strCache>
                <c:ptCount val="1"/>
                <c:pt idx="0">
                  <c:v>Net Amounts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'Pivot-Table'!$A$14:$A$19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Printer</c:v>
                </c:pt>
              </c:strCache>
            </c:strRef>
          </c:cat>
          <c:val>
            <c:numRef>
              <c:f>'Pivot-Table'!$D$14:$D$19</c:f>
              <c:numCache>
                <c:formatCode>"₹"\ #,##0.00</c:formatCode>
                <c:ptCount val="5"/>
                <c:pt idx="0">
                  <c:v>141990.74</c:v>
                </c:pt>
                <c:pt idx="1">
                  <c:v>35251.54</c:v>
                </c:pt>
                <c:pt idx="2">
                  <c:v>98296.549999999988</c:v>
                </c:pt>
                <c:pt idx="3">
                  <c:v>97377.459999999992</c:v>
                </c:pt>
                <c:pt idx="4">
                  <c:v>67475.37000000001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CC-43C5-8ECE-175ED1EA8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6949456"/>
        <c:axId val="1436944880"/>
      </c:barChart>
      <c:catAx>
        <c:axId val="1436949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944880"/>
        <c:crosses val="autoZero"/>
        <c:auto val="1"/>
        <c:lblAlgn val="ctr"/>
        <c:lblOffset val="100"/>
        <c:noMultiLvlLbl val="0"/>
      </c:catAx>
      <c:valAx>
        <c:axId val="143694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94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[Book1.xlsx]Pivot-Table!PivotTable3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'Pivot-Table'!$B$22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'Pivot-Table'!$A$23:$A$27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'Pivot-Table'!$B$23:$B$27</c:f>
              <c:numCache>
                <c:formatCode>"₹"\ #,##0.00</c:formatCode>
                <c:ptCount val="4"/>
                <c:pt idx="0">
                  <c:v>173932</c:v>
                </c:pt>
                <c:pt idx="1">
                  <c:v>140627</c:v>
                </c:pt>
                <c:pt idx="2">
                  <c:v>73188</c:v>
                </c:pt>
                <c:pt idx="3">
                  <c:v>119978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C-497D-A3FB-18EFA0ECB093}"/>
            </c:ext>
          </c:extLst>
        </c:ser>
        <c:ser>
          <c:idx val="1"/>
          <c:order val="1"/>
          <c:tx>
            <c:strRef>
              <c:f>'Pivot-Table'!$C$22</c:f>
              <c:strCache>
                <c:ptCount val="1"/>
                <c:pt idx="0">
                  <c:v>Sum of Discount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'Pivot-Table'!$A$23:$A$27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'Pivot-Table'!$C$23:$C$27</c:f>
              <c:numCache>
                <c:formatCode>"₹"\ #,##0.00</c:formatCode>
                <c:ptCount val="4"/>
                <c:pt idx="0">
                  <c:v>22170.27</c:v>
                </c:pt>
                <c:pt idx="1">
                  <c:v>20106.199999999997</c:v>
                </c:pt>
                <c:pt idx="2">
                  <c:v>7931.57</c:v>
                </c:pt>
                <c:pt idx="3">
                  <c:v>17125.3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C-497D-A3FB-18EFA0ECB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6950704"/>
        <c:axId val="1436937392"/>
      </c:barChart>
      <c:lineChart>
        <c:grouping val="standard"/>
        <c:varyColors val="0"/>
        <c:ser>
          <c:idx val="2"/>
          <c:order val="2"/>
          <c:tx>
            <c:strRef>
              <c:f>'Pivot-Table'!$D$22</c:f>
              <c:strCache>
                <c:ptCount val="1"/>
                <c:pt idx="0">
                  <c:v>Sum of Net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'Pivot-Table'!$A$23:$A$27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'Pivot-Table'!$D$23:$D$27</c:f>
              <c:numCache>
                <c:formatCode>"₹"\ #,##0.00</c:formatCode>
                <c:ptCount val="4"/>
                <c:pt idx="0">
                  <c:v>151761.73000000001</c:v>
                </c:pt>
                <c:pt idx="1">
                  <c:v>120520.80000000002</c:v>
                </c:pt>
                <c:pt idx="2">
                  <c:v>65256.429999999993</c:v>
                </c:pt>
                <c:pt idx="3">
                  <c:v>102852.7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C-497D-A3FB-18EFA0ECB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6950704"/>
        <c:axId val="1436937392"/>
      </c:lineChart>
      <c:catAx>
        <c:axId val="143695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937392"/>
        <c:crosses val="autoZero"/>
        <c:auto val="1"/>
        <c:lblAlgn val="ctr"/>
        <c:lblOffset val="100"/>
        <c:noMultiLvlLbl val="0"/>
      </c:catAx>
      <c:valAx>
        <c:axId val="14369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95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[Book1.xlsx]Pivot-Table!PivotTable4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'Pivot-Table'!$B$30:$B$31</c:f>
              <c:strCache>
                <c:ptCount val="1"/>
                <c:pt idx="0">
                  <c:v>Entry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'Pivot-Table'!$A$32:$A$36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</c:strCache>
            </c:strRef>
          </c:cat>
          <c:val>
            <c:numRef>
              <c:f>'Pivot-Table'!$B$32:$B$36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B-4E60-A537-A3B166B719CD}"/>
            </c:ext>
          </c:extLst>
        </c:ser>
        <c:ser>
          <c:idx val="1"/>
          <c:order val="1"/>
          <c:tx>
            <c:strRef>
              <c:f>'Pivot-Table'!$C$30:$C$31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'Pivot-Table'!$A$32:$A$36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</c:strCache>
            </c:strRef>
          </c:cat>
          <c:val>
            <c:numRef>
              <c:f>'Pivot-Table'!$C$32:$C$36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4B-4E60-A537-A3B166B719CD}"/>
            </c:ext>
          </c:extLst>
        </c:ser>
        <c:ser>
          <c:idx val="2"/>
          <c:order val="2"/>
          <c:tx>
            <c:strRef>
              <c:f>'Pivot-Table'!$D$30:$D$31</c:f>
              <c:strCache>
                <c:ptCount val="1"/>
                <c:pt idx="0">
                  <c:v>Mid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'Pivot-Table'!$A$32:$A$36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</c:strCache>
            </c:strRef>
          </c:cat>
          <c:val>
            <c:numRef>
              <c:f>'Pivot-Table'!$D$32:$D$36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4B-4E60-A537-A3B166B71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5731632"/>
        <c:axId val="1445734128"/>
      </c:barChart>
      <c:catAx>
        <c:axId val="144573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734128"/>
        <c:crosses val="autoZero"/>
        <c:auto val="1"/>
        <c:lblAlgn val="ctr"/>
        <c:lblOffset val="100"/>
        <c:noMultiLvlLbl val="0"/>
      </c:catAx>
      <c:valAx>
        <c:axId val="144573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73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[Book1.xlsx]Pivot-Table!PivotTable5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'Pivot-Table'!$B$39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6C-44FB-A2ED-B8A8931232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6C-44FB-A2ED-B8A8931232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6C-44FB-A2ED-B8A8931232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6C-44FB-A2ED-B8A8931232D7}"/>
              </c:ext>
            </c:extLst>
          </c:dPt>
          <c:cat>
            <c:strRef>
              <c:f>'Pivot-Table'!$A$40:$A$44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'Pivot-Table'!$B$40:$B$44</c:f>
              <c:numCache>
                <c:formatCode>General</c:formatCode>
                <c:ptCount val="4"/>
                <c:pt idx="0">
                  <c:v>6</c:v>
                </c:pt>
                <c:pt idx="1">
                  <c:v>9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6C-44FB-A2ED-B8A893123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[Book1.xlsx]Pivot-Table!PivotTable6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'Pivot-Table'!$B$47</c:f>
              <c:strCache>
                <c:ptCount val="1"/>
                <c:pt idx="0">
                  <c:v>Sum of 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'Pivot-Table'!$A$48:$A$68</c:f>
              <c:strCache>
                <c:ptCount val="20"/>
                <c:pt idx="0">
                  <c:v>1001</c:v>
                </c:pt>
                <c:pt idx="1">
                  <c:v>1002</c:v>
                </c:pt>
                <c:pt idx="2">
                  <c:v>1003</c:v>
                </c:pt>
                <c:pt idx="3">
                  <c:v>1004</c:v>
                </c:pt>
                <c:pt idx="4">
                  <c:v>1005</c:v>
                </c:pt>
                <c:pt idx="5">
                  <c:v>1006</c:v>
                </c:pt>
                <c:pt idx="6">
                  <c:v>1007</c:v>
                </c:pt>
                <c:pt idx="7">
                  <c:v>1008</c:v>
                </c:pt>
                <c:pt idx="8">
                  <c:v>1009</c:v>
                </c:pt>
                <c:pt idx="9">
                  <c:v>1010</c:v>
                </c:pt>
                <c:pt idx="10">
                  <c:v>1011</c:v>
                </c:pt>
                <c:pt idx="11">
                  <c:v>1012</c:v>
                </c:pt>
                <c:pt idx="12">
                  <c:v>1013</c:v>
                </c:pt>
                <c:pt idx="13">
                  <c:v>1014</c:v>
                </c:pt>
                <c:pt idx="14">
                  <c:v>1015</c:v>
                </c:pt>
                <c:pt idx="15">
                  <c:v>1016</c:v>
                </c:pt>
                <c:pt idx="16">
                  <c:v>1017</c:v>
                </c:pt>
                <c:pt idx="17">
                  <c:v>1018</c:v>
                </c:pt>
                <c:pt idx="18">
                  <c:v>1019</c:v>
                </c:pt>
                <c:pt idx="19">
                  <c:v>1020</c:v>
                </c:pt>
              </c:strCache>
            </c:strRef>
          </c:cat>
          <c:val>
            <c:numRef>
              <c:f>'Pivot-Table'!$B$48:$B$68</c:f>
              <c:numCache>
                <c:formatCode>0.00</c:formatCode>
                <c:ptCount val="20"/>
                <c:pt idx="0">
                  <c:v>61.666666666666664</c:v>
                </c:pt>
                <c:pt idx="1">
                  <c:v>74.666666666666671</c:v>
                </c:pt>
                <c:pt idx="2">
                  <c:v>69.333333333333329</c:v>
                </c:pt>
                <c:pt idx="3">
                  <c:v>58.333333333333336</c:v>
                </c:pt>
                <c:pt idx="4">
                  <c:v>75.333333333333329</c:v>
                </c:pt>
                <c:pt idx="5">
                  <c:v>71.666666666666671</c:v>
                </c:pt>
                <c:pt idx="6">
                  <c:v>66.666666666666671</c:v>
                </c:pt>
                <c:pt idx="7">
                  <c:v>75</c:v>
                </c:pt>
                <c:pt idx="8">
                  <c:v>57.333333333333336</c:v>
                </c:pt>
                <c:pt idx="9">
                  <c:v>70</c:v>
                </c:pt>
                <c:pt idx="10">
                  <c:v>68.333333333333329</c:v>
                </c:pt>
                <c:pt idx="11">
                  <c:v>84.333333333333329</c:v>
                </c:pt>
                <c:pt idx="12">
                  <c:v>95</c:v>
                </c:pt>
                <c:pt idx="13">
                  <c:v>59</c:v>
                </c:pt>
                <c:pt idx="14">
                  <c:v>65.333333333333329</c:v>
                </c:pt>
                <c:pt idx="15">
                  <c:v>78.333333333333329</c:v>
                </c:pt>
                <c:pt idx="16">
                  <c:v>55</c:v>
                </c:pt>
                <c:pt idx="17">
                  <c:v>69.666666666666671</c:v>
                </c:pt>
                <c:pt idx="18">
                  <c:v>76</c:v>
                </c:pt>
                <c:pt idx="19">
                  <c:v>76.666666666666671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4-4288-B859-40FA5D80AE0A}"/>
            </c:ext>
          </c:extLst>
        </c:ser>
        <c:ser>
          <c:idx val="1"/>
          <c:order val="1"/>
          <c:tx>
            <c:strRef>
              <c:f>'Pivot-Table'!$C$47</c:f>
              <c:strCache>
                <c:ptCount val="1"/>
                <c:pt idx="0">
                  <c:v>Sum of Rank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'Pivot-Table'!$A$48:$A$68</c:f>
              <c:strCache>
                <c:ptCount val="20"/>
                <c:pt idx="0">
                  <c:v>1001</c:v>
                </c:pt>
                <c:pt idx="1">
                  <c:v>1002</c:v>
                </c:pt>
                <c:pt idx="2">
                  <c:v>1003</c:v>
                </c:pt>
                <c:pt idx="3">
                  <c:v>1004</c:v>
                </c:pt>
                <c:pt idx="4">
                  <c:v>1005</c:v>
                </c:pt>
                <c:pt idx="5">
                  <c:v>1006</c:v>
                </c:pt>
                <c:pt idx="6">
                  <c:v>1007</c:v>
                </c:pt>
                <c:pt idx="7">
                  <c:v>1008</c:v>
                </c:pt>
                <c:pt idx="8">
                  <c:v>1009</c:v>
                </c:pt>
                <c:pt idx="9">
                  <c:v>1010</c:v>
                </c:pt>
                <c:pt idx="10">
                  <c:v>1011</c:v>
                </c:pt>
                <c:pt idx="11">
                  <c:v>1012</c:v>
                </c:pt>
                <c:pt idx="12">
                  <c:v>1013</c:v>
                </c:pt>
                <c:pt idx="13">
                  <c:v>1014</c:v>
                </c:pt>
                <c:pt idx="14">
                  <c:v>1015</c:v>
                </c:pt>
                <c:pt idx="15">
                  <c:v>1016</c:v>
                </c:pt>
                <c:pt idx="16">
                  <c:v>1017</c:v>
                </c:pt>
                <c:pt idx="17">
                  <c:v>1018</c:v>
                </c:pt>
                <c:pt idx="18">
                  <c:v>1019</c:v>
                </c:pt>
                <c:pt idx="19">
                  <c:v>1020</c:v>
                </c:pt>
              </c:strCache>
            </c:strRef>
          </c:cat>
          <c:val>
            <c:numRef>
              <c:f>'Pivot-Table'!$C$48:$C$68</c:f>
              <c:numCache>
                <c:formatCode>General</c:formatCode>
                <c:ptCount val="20"/>
                <c:pt idx="0">
                  <c:v>16</c:v>
                </c:pt>
                <c:pt idx="1">
                  <c:v>8</c:v>
                </c:pt>
                <c:pt idx="2">
                  <c:v>12</c:v>
                </c:pt>
                <c:pt idx="3">
                  <c:v>18</c:v>
                </c:pt>
                <c:pt idx="4">
                  <c:v>6</c:v>
                </c:pt>
                <c:pt idx="5">
                  <c:v>9</c:v>
                </c:pt>
                <c:pt idx="6">
                  <c:v>14</c:v>
                </c:pt>
                <c:pt idx="7">
                  <c:v>7</c:v>
                </c:pt>
                <c:pt idx="8">
                  <c:v>19</c:v>
                </c:pt>
                <c:pt idx="9">
                  <c:v>10</c:v>
                </c:pt>
                <c:pt idx="10">
                  <c:v>13</c:v>
                </c:pt>
                <c:pt idx="11">
                  <c:v>2</c:v>
                </c:pt>
                <c:pt idx="12">
                  <c:v>1</c:v>
                </c:pt>
                <c:pt idx="13">
                  <c:v>17</c:v>
                </c:pt>
                <c:pt idx="14">
                  <c:v>15</c:v>
                </c:pt>
                <c:pt idx="15">
                  <c:v>3</c:v>
                </c:pt>
                <c:pt idx="16">
                  <c:v>20</c:v>
                </c:pt>
                <c:pt idx="17">
                  <c:v>11</c:v>
                </c:pt>
                <c:pt idx="18">
                  <c:v>5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04-4288-B859-40FA5D80A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5728304"/>
        <c:axId val="1445729552"/>
      </c:barChart>
      <c:catAx>
        <c:axId val="144572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729552"/>
        <c:crosses val="autoZero"/>
        <c:auto val="1"/>
        <c:lblAlgn val="ctr"/>
        <c:lblOffset val="100"/>
        <c:noMultiLvlLbl val="0"/>
      </c:catAx>
      <c:valAx>
        <c:axId val="144572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72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304800</xdr:colOff>
      <xdr:row>16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</xdr:row>
      <xdr:rowOff>0</xdr:rowOff>
    </xdr:from>
    <xdr:to>
      <xdr:col>18</xdr:col>
      <xdr:colOff>304800</xdr:colOff>
      <xdr:row>16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18</xdr:row>
      <xdr:rowOff>0</xdr:rowOff>
    </xdr:from>
    <xdr:to>
      <xdr:col>10</xdr:col>
      <xdr:colOff>304800</xdr:colOff>
      <xdr:row>32</xdr:row>
      <xdr:rowOff>165100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18</xdr:row>
      <xdr:rowOff>0</xdr:rowOff>
    </xdr:from>
    <xdr:to>
      <xdr:col>18</xdr:col>
      <xdr:colOff>304800</xdr:colOff>
      <xdr:row>32</xdr:row>
      <xdr:rowOff>165100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12700</xdr:colOff>
      <xdr:row>34</xdr:row>
      <xdr:rowOff>19050</xdr:rowOff>
    </xdr:from>
    <xdr:to>
      <xdr:col>10</xdr:col>
      <xdr:colOff>317500</xdr:colOff>
      <xdr:row>49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34</xdr:row>
      <xdr:rowOff>0</xdr:rowOff>
    </xdr:from>
    <xdr:to>
      <xdr:col>18</xdr:col>
      <xdr:colOff>304800</xdr:colOff>
      <xdr:row>48</xdr:row>
      <xdr:rowOff>165100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" refreshedDate="46318.863846759261" createdVersion="6" refreshedVersion="6" minRefreshableVersion="3" recordCount="20">
  <cacheSource type="worksheet">
    <worksheetSource ref="A1:P21" sheet="Sales"/>
  </cacheSource>
  <cacheFields count="16">
    <cacheField name="Sales ID" numFmtId="1">
      <sharedItems containsSemiMixedTypes="0" containsString="0" containsNumber="1" containsInteger="1" minValue="2001" maxValue="2020"/>
    </cacheField>
    <cacheField name="Product" numFmtId="0">
      <sharedItems count="5">
        <s v="Keyboard"/>
        <s v="Printer"/>
        <s v="Mouse"/>
        <s v="Monitor"/>
        <s v="Laptop"/>
      </sharedItems>
    </cacheField>
    <cacheField name="Region" numFmtId="0">
      <sharedItems count="4">
        <s v="South"/>
        <s v="West"/>
        <s v="East"/>
        <s v="North"/>
      </sharedItems>
    </cacheField>
    <cacheField name="Salesperson" numFmtId="0">
      <sharedItems/>
    </cacheField>
    <cacheField name="Amount" numFmtId="165">
      <sharedItems containsSemiMixedTypes="0" containsString="0" containsNumber="1" containsInteger="1" minValue="5264" maxValue="46429"/>
    </cacheField>
    <cacheField name="Date" numFmtId="164">
      <sharedItems containsSemiMixedTypes="0" containsNonDate="0" containsDate="1" containsString="0" minDate="2023-01-01T00:00:00" maxDate="2023-10-14T00:00:00"/>
    </cacheField>
    <cacheField name="Month" numFmtId="0">
      <sharedItems/>
    </cacheField>
    <cacheField name="Discount %" numFmtId="0">
      <sharedItems/>
    </cacheField>
    <cacheField name="Discount Amount" numFmtId="0">
      <sharedItems containsSemiMixedTypes="0" containsString="0" containsNumber="1" minValue="105.28" maxValue="6964.3499999999995"/>
    </cacheField>
    <cacheField name="Net Amount" numFmtId="165">
      <sharedItems containsSemiMixedTypes="0" containsString="0" containsNumber="1" minValue="5158.72" maxValue="39464.65"/>
    </cacheField>
    <cacheField name="Discount Eligible?" numFmtId="0">
      <sharedItems/>
    </cacheField>
    <cacheField name="Net (ROUND 100)" numFmtId="165">
      <sharedItems containsSemiMixedTypes="0" containsString="0" containsNumber="1" containsInteger="1" minValue="5200" maxValue="39500"/>
    </cacheField>
    <cacheField name="Net (CEILING 1000)" numFmtId="0">
      <sharedItems containsSemiMixedTypes="0" containsString="0" containsNumber="1" containsInteger="1" minValue="6000" maxValue="40000"/>
    </cacheField>
    <cacheField name="Net (FLOOR 1000)" numFmtId="0">
      <sharedItems containsSemiMixedTypes="0" containsString="0" containsNumber="1" containsInteger="1" minValue="5000" maxValue="39000"/>
    </cacheField>
    <cacheField name="Rolling 3-Sale Avg (OFFSET)" numFmtId="2">
      <sharedItems containsMixedTypes="1" containsNumber="1" minValue="9412.6666666666661" maxValue="36822.666666666664"/>
    </cacheField>
    <cacheField name="Days Since Prev Sale" numFmtId="0">
      <sharedItems containsMixedTypes="1" containsNumber="1" containsInteger="1" minValue="15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" refreshedDate="46318.880856481483" createdVersion="6" refreshedVersion="6" minRefreshableVersion="3" recordCount="20">
  <cacheSource type="worksheet">
    <worksheetSource ref="A1:O21" sheet="Employee"/>
  </cacheSource>
  <cacheFields count="15">
    <cacheField name="Employee ID" numFmtId="1">
      <sharedItems containsSemiMixedTypes="0" containsString="0" containsNumber="1" containsInteger="1" minValue="3001" maxValue="3020"/>
    </cacheField>
    <cacheField name="Name" numFmtId="0">
      <sharedItems/>
    </cacheField>
    <cacheField name="Department" numFmtId="0">
      <sharedItems count="4">
        <s v="Finance"/>
        <s v="HR"/>
        <s v="IT"/>
        <s v="Marketing"/>
      </sharedItems>
    </cacheField>
    <cacheField name="Salary" numFmtId="165">
      <sharedItems containsSemiMixedTypes="0" containsString="0" containsNumber="1" containsInteger="1" minValue="31943" maxValue="116284"/>
    </cacheField>
    <cacheField name="Joining Date" numFmtId="164">
      <sharedItems containsSemiMixedTypes="0" containsNonDate="0" containsDate="1" containsString="0" minDate="2015-01-01T00:00:00" maxDate="2028-01-04T00:00:00"/>
    </cacheField>
    <cacheField name="Status" numFmtId="0">
      <sharedItems/>
    </cacheField>
    <cacheField name="Tenure (Years)" numFmtId="0">
      <sharedItems containsSemiMixedTypes="0" containsString="0" containsNumber="1" minValue="0" maxValue="11.8"/>
    </cacheField>
    <cacheField name="Joining Date (Long)" numFmtId="0">
      <sharedItems/>
    </cacheField>
    <cacheField name="Joining Weekday" numFmtId="0">
      <sharedItems/>
    </cacheField>
    <cacheField name="Salary Band (Nested IF)" numFmtId="0">
      <sharedItems count="3">
        <s v="Mid"/>
        <s v="Entry"/>
        <s v="High"/>
      </sharedItems>
    </cacheField>
    <cacheField name="Bonus" numFmtId="0">
      <sharedItems containsSemiMixedTypes="0" containsString="0" containsNumber="1" minValue="3194.3" maxValue="11628.400000000001"/>
    </cacheField>
    <cacheField name="Bonus (ROUND 100)" numFmtId="0">
      <sharedItems containsSemiMixedTypes="0" containsString="0" containsNumber="1" containsInteger="1" minValue="3200" maxValue="11600"/>
    </cacheField>
    <cacheField name="Name UPPER" numFmtId="0">
      <sharedItems/>
    </cacheField>
    <cacheField name="Days Since Joining" numFmtId="0">
      <sharedItems containsMixedTypes="1" containsNumber="1" containsInteger="1" minValue="63" maxValue="4313"/>
    </cacheField>
    <cacheField name="Senior Track? (AND/OR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" refreshedDate="46318.889319907408" createdVersion="6" refreshedVersion="6" minRefreshableVersion="3" recordCount="20">
  <cacheSource type="worksheet">
    <worksheetSource ref="A1:S21" sheet="Student"/>
  </cacheSource>
  <cacheFields count="19">
    <cacheField name="Student ID" numFmtId="1">
      <sharedItems containsSemiMixedTypes="0" containsString="0" containsNumber="1" containsInteger="1" minValue="1001" maxValue="1020" count="2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</sharedItems>
    </cacheField>
    <cacheField name="Name" numFmtId="0">
      <sharedItems/>
    </cacheField>
    <cacheField name="Math" numFmtId="1">
      <sharedItems containsSemiMixedTypes="0" containsString="0" containsNumber="1" containsInteger="1" minValue="41" maxValue="98" count="18">
        <n v="61"/>
        <n v="78"/>
        <n v="97"/>
        <n v="74"/>
        <n v="68"/>
        <n v="80"/>
        <n v="75"/>
        <n v="94"/>
        <n v="41"/>
        <n v="98"/>
        <n v="73"/>
        <n v="85"/>
        <n v="93"/>
        <n v="70"/>
        <n v="66"/>
        <n v="82"/>
        <n v="90"/>
        <n v="83"/>
      </sharedItems>
    </cacheField>
    <cacheField name="Science" numFmtId="1">
      <sharedItems containsSemiMixedTypes="0" containsString="0" containsNumber="1" containsInteger="1" minValue="40" maxValue="92"/>
    </cacheField>
    <cacheField name="English" numFmtId="1">
      <sharedItems containsSemiMixedTypes="0" containsString="0" containsNumber="1" containsInteger="1" minValue="40" maxValue="97"/>
    </cacheField>
    <cacheField name="Enrollment Date" numFmtId="164">
      <sharedItems containsSemiMixedTypes="0" containsNonDate="0" containsDate="1" containsString="0" minDate="2018-01-01T00:00:00" maxDate="2027-05-15T00:00:00"/>
    </cacheField>
    <cacheField name="Total" numFmtId="1">
      <sharedItems containsSemiMixedTypes="0" containsString="0" containsNumber="1" containsInteger="1" minValue="165" maxValue="285"/>
    </cacheField>
    <cacheField name="Average" numFmtId="2">
      <sharedItems containsSemiMixedTypes="0" containsString="0" containsNumber="1" minValue="55" maxValue="95"/>
    </cacheField>
    <cacheField name="Grade (Nested IF)" numFmtId="0">
      <sharedItems count="4">
        <s v="C"/>
        <s v="B"/>
        <s v="A"/>
        <s v="D"/>
      </sharedItems>
    </cacheField>
    <cacheField name="Math &amp; Science &gt; 80?" numFmtId="0">
      <sharedItems/>
    </cacheField>
    <cacheField name="First Name" numFmtId="0">
      <sharedItems/>
    </cacheField>
    <cacheField name="Name UPPER" numFmtId="0">
      <sharedItems/>
    </cacheField>
    <cacheField name="Name lower" numFmtId="0">
      <sharedItems/>
    </cacheField>
    <cacheField name="Years Since Enrollment" numFmtId="0">
      <sharedItems containsMixedTypes="1" containsNumber="1" containsInteger="1" minValue="0" maxValue="8"/>
    </cacheField>
    <cacheField name="Days Since Enrollment" numFmtId="0">
      <sharedItems containsMixedTypes="1" containsNumber="1" containsInteger="1" minValue="150" maxValue="3210"/>
    </cacheField>
    <cacheField name="Avg (ROUND)" numFmtId="2">
      <sharedItems containsSemiMixedTypes="0" containsString="0" containsNumber="1" containsInteger="1" minValue="55" maxValue="95"/>
    </cacheField>
    <cacheField name="Avg (CEILING 5)" numFmtId="0">
      <sharedItems containsSemiMixedTypes="0" containsString="0" containsNumber="1" containsInteger="1" minValue="55" maxValue="95"/>
    </cacheField>
    <cacheField name="Avg (FLOOR 5)" numFmtId="0">
      <sharedItems containsSemiMixedTypes="0" containsString="0" containsNumber="1" containsInteger="1" minValue="55" maxValue="95"/>
    </cacheField>
    <cacheField name="Rank" numFmtId="0">
      <sharedItems containsSemiMixedTypes="0" containsString="0" containsNumber="1" containsInteger="1" minValue="1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n v="2001"/>
    <x v="0"/>
    <x v="0"/>
    <s v="Person 1"/>
    <n v="7048"/>
    <d v="2023-01-01T00:00:00"/>
    <s v="Jan"/>
    <s v="2%"/>
    <n v="140.96"/>
    <n v="6907.04"/>
    <s v="Yes"/>
    <n v="6900"/>
    <n v="7000"/>
    <n v="6000"/>
    <s v="Not Working"/>
    <s v="Not Working"/>
  </r>
  <r>
    <n v="2002"/>
    <x v="1"/>
    <x v="1"/>
    <s v="Person 2"/>
    <n v="17428"/>
    <d v="2023-01-16T00:00:00"/>
    <s v="Jan"/>
    <s v="10%"/>
    <n v="1742.8000000000002"/>
    <n v="15685.2"/>
    <s v="No"/>
    <n v="15700"/>
    <n v="16000"/>
    <n v="15000"/>
    <n v="12238"/>
    <n v="15"/>
  </r>
  <r>
    <n v="2003"/>
    <x v="2"/>
    <x v="0"/>
    <s v="Person 3"/>
    <n v="23672"/>
    <d v="2023-01-31T00:00:00"/>
    <s v="Jan"/>
    <s v="10%"/>
    <n v="2367.2000000000003"/>
    <n v="21304.799999999999"/>
    <s v="No"/>
    <n v="21300"/>
    <n v="22000"/>
    <n v="21000"/>
    <n v="16049.333333333334"/>
    <n v="15"/>
  </r>
  <r>
    <n v="2004"/>
    <x v="1"/>
    <x v="2"/>
    <s v="Person 4"/>
    <n v="5264"/>
    <d v="2023-02-15T00:00:00"/>
    <s v="Feb"/>
    <s v="2%"/>
    <n v="105.28"/>
    <n v="5158.72"/>
    <s v="No"/>
    <n v="5200"/>
    <n v="6000"/>
    <n v="5000"/>
    <n v="15454.666666666666"/>
    <n v="15"/>
  </r>
  <r>
    <n v="2005"/>
    <x v="0"/>
    <x v="3"/>
    <s v="Person 5"/>
    <n v="43388"/>
    <d v="2023-03-02T00:00:00"/>
    <s v="Mar"/>
    <s v="15%"/>
    <n v="6508.2"/>
    <n v="36879.800000000003"/>
    <s v="Yes"/>
    <n v="36900"/>
    <n v="37000"/>
    <n v="36000"/>
    <n v="24108"/>
    <n v="15"/>
  </r>
  <r>
    <n v="2006"/>
    <x v="2"/>
    <x v="3"/>
    <s v="Person 6"/>
    <n v="19757"/>
    <d v="2023-03-17T00:00:00"/>
    <s v="Mar"/>
    <s v="10%"/>
    <n v="1975.7"/>
    <n v="17781.3"/>
    <s v="No"/>
    <n v="17800"/>
    <n v="18000"/>
    <n v="17000"/>
    <n v="22803"/>
    <n v="15"/>
  </r>
  <r>
    <n v="2007"/>
    <x v="2"/>
    <x v="2"/>
    <s v="Person 7"/>
    <n v="32058"/>
    <d v="2023-04-01T00:00:00"/>
    <s v="Apr"/>
    <s v="15%"/>
    <n v="4808.7"/>
    <n v="27249.3"/>
    <s v="No"/>
    <n v="27200"/>
    <n v="28000"/>
    <n v="27000"/>
    <n v="31734.333333333332"/>
    <n v="15"/>
  </r>
  <r>
    <n v="2008"/>
    <x v="0"/>
    <x v="2"/>
    <s v="Person 8"/>
    <n v="46429"/>
    <d v="2023-04-16T00:00:00"/>
    <s v="Apr"/>
    <s v="15%"/>
    <n v="6964.3499999999995"/>
    <n v="39464.65"/>
    <s v="Yes"/>
    <n v="39500"/>
    <n v="40000"/>
    <n v="39000"/>
    <n v="32748"/>
    <n v="15"/>
  </r>
  <r>
    <n v="2009"/>
    <x v="1"/>
    <x v="2"/>
    <s v="Person 9"/>
    <n v="19746"/>
    <d v="2023-05-01T00:00:00"/>
    <s v="May"/>
    <s v="10%"/>
    <n v="1974.6000000000001"/>
    <n v="17771.400000000001"/>
    <s v="No"/>
    <n v="17800"/>
    <n v="18000"/>
    <n v="17000"/>
    <n v="32744.333333333332"/>
    <n v="15"/>
  </r>
  <r>
    <n v="2010"/>
    <x v="0"/>
    <x v="0"/>
    <s v="Person 10"/>
    <n v="35185"/>
    <d v="2023-05-16T00:00:00"/>
    <s v="May"/>
    <s v="15%"/>
    <n v="5277.75"/>
    <n v="29907.25"/>
    <s v="Yes"/>
    <n v="29900"/>
    <n v="30000"/>
    <n v="29000"/>
    <n v="33786.666666666664"/>
    <n v="15"/>
  </r>
  <r>
    <n v="2011"/>
    <x v="0"/>
    <x v="2"/>
    <s v="Person 11"/>
    <n v="33920"/>
    <d v="2023-05-31T00:00:00"/>
    <s v="May"/>
    <s v="15%"/>
    <n v="5088"/>
    <n v="28832"/>
    <s v="Yes"/>
    <n v="28800"/>
    <n v="29000"/>
    <n v="28000"/>
    <n v="29617"/>
    <n v="15"/>
  </r>
  <r>
    <n v="2012"/>
    <x v="3"/>
    <x v="3"/>
    <s v="Person 12"/>
    <n v="35611"/>
    <d v="2023-06-15T00:00:00"/>
    <s v="Jun"/>
    <s v="15%"/>
    <n v="5341.65"/>
    <n v="30269.35"/>
    <s v="Yes"/>
    <n v="30300"/>
    <n v="31000"/>
    <n v="30000"/>
    <n v="34905.333333333336"/>
    <n v="15"/>
  </r>
  <r>
    <n v="2013"/>
    <x v="4"/>
    <x v="2"/>
    <s v="Person 13"/>
    <n v="15560"/>
    <d v="2023-06-30T00:00:00"/>
    <s v="Jun"/>
    <s v="10%"/>
    <n v="1556"/>
    <n v="14004"/>
    <s v="No"/>
    <n v="14000"/>
    <n v="15000"/>
    <n v="14000"/>
    <n v="28363.666666666668"/>
    <n v="15"/>
  </r>
  <r>
    <n v="2014"/>
    <x v="4"/>
    <x v="0"/>
    <s v="Person 14"/>
    <n v="7283"/>
    <d v="2023-07-15T00:00:00"/>
    <s v="Jul"/>
    <s v="2%"/>
    <n v="145.66"/>
    <n v="7137.34"/>
    <s v="No"/>
    <n v="7100"/>
    <n v="8000"/>
    <n v="7000"/>
    <n v="19484.666666666668"/>
    <n v="15"/>
  </r>
  <r>
    <n v="2015"/>
    <x v="4"/>
    <x v="2"/>
    <s v="Person 15"/>
    <n v="15678"/>
    <d v="2023-07-30T00:00:00"/>
    <s v="Jul"/>
    <s v="10%"/>
    <n v="1567.8000000000002"/>
    <n v="14110.2"/>
    <s v="No"/>
    <n v="14100"/>
    <n v="15000"/>
    <n v="14000"/>
    <n v="12840.333333333334"/>
    <n v="15"/>
  </r>
  <r>
    <n v="2016"/>
    <x v="2"/>
    <x v="2"/>
    <s v="Person 16"/>
    <n v="5277"/>
    <d v="2023-08-14T00:00:00"/>
    <s v="Aug"/>
    <s v="2%"/>
    <n v="105.54"/>
    <n v="5171.46"/>
    <s v="No"/>
    <n v="5200"/>
    <n v="6000"/>
    <n v="5000"/>
    <n v="9412.6666666666661"/>
    <n v="15"/>
  </r>
  <r>
    <n v="2017"/>
    <x v="3"/>
    <x v="3"/>
    <s v="Person 17"/>
    <n v="41871"/>
    <d v="2023-08-29T00:00:00"/>
    <s v="Aug"/>
    <s v="15%"/>
    <n v="6280.65"/>
    <n v="35590.35"/>
    <s v="Yes"/>
    <n v="35600"/>
    <n v="36000"/>
    <n v="35000"/>
    <n v="20942"/>
    <n v="15"/>
  </r>
  <r>
    <n v="2018"/>
    <x v="3"/>
    <x v="1"/>
    <s v="Person 18"/>
    <n v="38161"/>
    <d v="2023-09-13T00:00:00"/>
    <s v="Sep"/>
    <s v="15%"/>
    <n v="5724.15"/>
    <n v="32436.85"/>
    <s v="Yes"/>
    <n v="32400"/>
    <n v="33000"/>
    <n v="32000"/>
    <n v="28436.333333333332"/>
    <n v="15"/>
  </r>
  <r>
    <n v="2019"/>
    <x v="2"/>
    <x v="1"/>
    <s v="Person 19"/>
    <n v="30436"/>
    <d v="2023-09-28T00:00:00"/>
    <s v="Sep"/>
    <s v="15%"/>
    <n v="4565.3999999999996"/>
    <n v="25870.6"/>
    <s v="No"/>
    <n v="25900"/>
    <n v="26000"/>
    <n v="25000"/>
    <n v="36822.666666666664"/>
    <n v="15"/>
  </r>
  <r>
    <n v="2020"/>
    <x v="1"/>
    <x v="1"/>
    <s v="Person 20"/>
    <n v="33953"/>
    <d v="2023-10-13T00:00:00"/>
    <s v="Oct"/>
    <s v="15%"/>
    <n v="5092.95"/>
    <n v="28860.05"/>
    <s v="No"/>
    <n v="28900"/>
    <n v="29000"/>
    <n v="28000"/>
    <n v="34183.333333333336"/>
    <n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">
  <r>
    <n v="3001"/>
    <s v="Employee 1"/>
    <x v="0"/>
    <n v="86766"/>
    <d v="2015-01-01T00:00:00"/>
    <s v="Active"/>
    <n v="11.8"/>
    <s v="01 January 2015"/>
    <s v="Thursday"/>
    <x v="0"/>
    <n v="8676.6"/>
    <n v="8700"/>
    <s v="EMPLOYEE 1"/>
    <n v="4313"/>
    <s v="Yes"/>
  </r>
  <r>
    <n v="3002"/>
    <s v="Employee 2"/>
    <x v="0"/>
    <n v="31943"/>
    <d v="2015-09-08T00:00:00"/>
    <s v="Active"/>
    <n v="11.1"/>
    <s v="08 September 2015"/>
    <s v="Tuesday"/>
    <x v="1"/>
    <n v="3194.3"/>
    <n v="3200"/>
    <s v="EMPLOYEE 2"/>
    <n v="4063"/>
    <s v="Yes"/>
  </r>
  <r>
    <n v="3003"/>
    <s v="Employee 3"/>
    <x v="1"/>
    <n v="63374"/>
    <d v="2016-05-15T00:00:00"/>
    <s v="Active"/>
    <n v="10.4"/>
    <s v="15 May 2016"/>
    <s v="Sunday"/>
    <x v="0"/>
    <n v="6337.4000000000005"/>
    <n v="6300"/>
    <s v="EMPLOYEE 3"/>
    <n v="3813"/>
    <s v="No"/>
  </r>
  <r>
    <n v="3004"/>
    <s v="Employee 4"/>
    <x v="0"/>
    <n v="109972"/>
    <d v="2017-01-20T00:00:00"/>
    <s v="Active"/>
    <n v="9.8000000000000007"/>
    <s v="20 January 2017"/>
    <s v="Friday"/>
    <x v="2"/>
    <n v="10997.2"/>
    <n v="11000"/>
    <s v="EMPLOYEE 4"/>
    <n v="3563"/>
    <s v="Yes"/>
  </r>
  <r>
    <n v="3005"/>
    <s v="Employee 5"/>
    <x v="2"/>
    <n v="54149"/>
    <d v="2017-09-27T00:00:00"/>
    <s v="Active"/>
    <n v="9.1"/>
    <s v="27 September 2017"/>
    <s v="Wednesday"/>
    <x v="1"/>
    <n v="5414.9000000000005"/>
    <n v="5400"/>
    <s v="EMPLOYEE 5"/>
    <n v="3313"/>
    <s v="Yes"/>
  </r>
  <r>
    <n v="3006"/>
    <s v="Employee 6"/>
    <x v="2"/>
    <n v="78689"/>
    <d v="2018-06-04T00:00:00"/>
    <s v="Active"/>
    <n v="8.4"/>
    <s v="04 June 2018"/>
    <s v="Monday"/>
    <x v="0"/>
    <n v="7868.9000000000005"/>
    <n v="7900"/>
    <s v="EMPLOYEE 6"/>
    <n v="3063"/>
    <s v="Yes"/>
  </r>
  <r>
    <n v="3007"/>
    <s v="Employee 7"/>
    <x v="3"/>
    <n v="35960"/>
    <d v="2019-02-09T00:00:00"/>
    <s v="Active"/>
    <n v="7.7"/>
    <s v="09 February 2019"/>
    <s v="Saturday"/>
    <x v="1"/>
    <n v="3596"/>
    <n v="3600"/>
    <s v="EMPLOYEE 7"/>
    <n v="2813"/>
    <s v="No"/>
  </r>
  <r>
    <n v="3008"/>
    <s v="Employee 8"/>
    <x v="2"/>
    <n v="91659"/>
    <d v="2019-10-17T00:00:00"/>
    <s v="Active"/>
    <n v="7"/>
    <s v="17 October 2019"/>
    <s v="Thursday"/>
    <x v="0"/>
    <n v="9165.9"/>
    <n v="9200"/>
    <s v="EMPLOYEE 8"/>
    <n v="2563"/>
    <s v="Yes"/>
  </r>
  <r>
    <n v="3009"/>
    <s v="Employee 9"/>
    <x v="2"/>
    <n v="90423"/>
    <d v="2020-06-23T00:00:00"/>
    <s v="Active"/>
    <n v="6.3"/>
    <s v="23 June 2020"/>
    <s v="Tuesday"/>
    <x v="0"/>
    <n v="9042.3000000000011"/>
    <n v="9000"/>
    <s v="EMPLOYEE 9"/>
    <n v="2313"/>
    <s v="Yes"/>
  </r>
  <r>
    <n v="3010"/>
    <s v="Employee 10"/>
    <x v="1"/>
    <n v="107877"/>
    <d v="2021-02-28T00:00:00"/>
    <s v="Active"/>
    <n v="5.6"/>
    <s v="28 February 2021"/>
    <s v="Sunday"/>
    <x v="2"/>
    <n v="10787.7"/>
    <n v="10800"/>
    <s v="EMPLOYEE 10"/>
    <n v="2063"/>
    <s v="No"/>
  </r>
  <r>
    <n v="3011"/>
    <s v="Employee 11"/>
    <x v="0"/>
    <n v="107634"/>
    <d v="2021-11-05T00:00:00"/>
    <s v="Active"/>
    <n v="5"/>
    <s v="05 November 2021"/>
    <s v="Friday"/>
    <x v="2"/>
    <n v="10763.400000000001"/>
    <n v="10800"/>
    <s v="EMPLOYEE 11"/>
    <n v="1813"/>
    <s v="Yes"/>
  </r>
  <r>
    <n v="3012"/>
    <s v="Employee 12"/>
    <x v="0"/>
    <n v="35226"/>
    <d v="2022-07-13T00:00:00"/>
    <s v="Active"/>
    <n v="4.3"/>
    <s v="13 July 2022"/>
    <s v="Wednesday"/>
    <x v="1"/>
    <n v="3522.6000000000004"/>
    <n v="3500"/>
    <s v="EMPLOYEE 12"/>
    <n v="1563"/>
    <s v="No"/>
  </r>
  <r>
    <n v="3013"/>
    <s v="Employee 13"/>
    <x v="1"/>
    <n v="40872"/>
    <d v="2023-03-20T00:00:00"/>
    <s v="Active"/>
    <n v="3.6"/>
    <s v="20 March 2023"/>
    <s v="Monday"/>
    <x v="1"/>
    <n v="4087.2000000000003"/>
    <n v="4100"/>
    <s v="EMPLOYEE 13"/>
    <n v="1313"/>
    <s v="No"/>
  </r>
  <r>
    <n v="3014"/>
    <s v="Employee 14"/>
    <x v="1"/>
    <n v="55378"/>
    <d v="2023-11-25T00:00:00"/>
    <s v="Active"/>
    <n v="2.9"/>
    <s v="25 November 2023"/>
    <s v="Saturday"/>
    <x v="1"/>
    <n v="5537.8"/>
    <n v="5500"/>
    <s v="EMPLOYEE 14"/>
    <n v="1063"/>
    <s v="No"/>
  </r>
  <r>
    <n v="3015"/>
    <s v="Employee 15"/>
    <x v="1"/>
    <n v="63297"/>
    <d v="2024-08-01T00:00:00"/>
    <s v="Active"/>
    <n v="2.2000000000000002"/>
    <s v="01 August 2024"/>
    <s v="Thursday"/>
    <x v="0"/>
    <n v="6329.7000000000007"/>
    <n v="6300"/>
    <s v="EMPLOYEE 15"/>
    <n v="813"/>
    <s v="No"/>
  </r>
  <r>
    <n v="3016"/>
    <s v="Employee 16"/>
    <x v="0"/>
    <n v="114173"/>
    <d v="2025-04-08T00:00:00"/>
    <s v="Active"/>
    <n v="1.5"/>
    <s v="08 April 2025"/>
    <s v="Tuesday"/>
    <x v="2"/>
    <n v="11417.300000000001"/>
    <n v="11400"/>
    <s v="EMPLOYEE 16"/>
    <n v="563"/>
    <s v="No"/>
  </r>
  <r>
    <n v="3017"/>
    <s v="Employee 17"/>
    <x v="1"/>
    <n v="86915"/>
    <d v="2025-12-14T00:00:00"/>
    <s v="Active"/>
    <n v="0.9"/>
    <s v="14 December 2025"/>
    <s v="Sunday"/>
    <x v="0"/>
    <n v="8691.5"/>
    <n v="8700"/>
    <s v="EMPLOYEE 17"/>
    <n v="313"/>
    <s v="No"/>
  </r>
  <r>
    <n v="3018"/>
    <s v="Employee 18"/>
    <x v="2"/>
    <n v="116284"/>
    <d v="2026-08-21T00:00:00"/>
    <s v="Active"/>
    <n v="0.2"/>
    <s v="21 August 2026"/>
    <s v="Friday"/>
    <x v="2"/>
    <n v="11628.400000000001"/>
    <n v="11600"/>
    <s v="EMPLOYEE 18"/>
    <n v="63"/>
    <s v="No"/>
  </r>
  <r>
    <n v="3019"/>
    <s v="Employee 19"/>
    <x v="3"/>
    <n v="116283"/>
    <d v="2027-04-28T00:00:00"/>
    <s v="Upcoming"/>
    <n v="0"/>
    <s v="28 April 2027"/>
    <s v="Wednesday"/>
    <x v="2"/>
    <n v="11628.300000000001"/>
    <n v="11600"/>
    <s v="EMPLOYEE 19"/>
    <s v="Upcoming"/>
    <s v="No"/>
  </r>
  <r>
    <n v="3020"/>
    <s v="Employee 20"/>
    <x v="3"/>
    <n v="99924"/>
    <d v="2028-01-03T00:00:00"/>
    <s v="Upcoming"/>
    <n v="0"/>
    <s v="03 January 2028"/>
    <s v="Monday"/>
    <x v="0"/>
    <n v="9992.4000000000015"/>
    <n v="10000"/>
    <s v="EMPLOYEE 20"/>
    <s v="Upcoming"/>
    <s v="No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0">
  <r>
    <x v="0"/>
    <s v="Student 1"/>
    <x v="0"/>
    <n v="48"/>
    <n v="76"/>
    <d v="2018-01-01T00:00:00"/>
    <n v="185"/>
    <n v="61.666666666666664"/>
    <x v="0"/>
    <s v="No"/>
    <s v="Student"/>
    <s v="STUDENT 1"/>
    <s v="student 1"/>
    <n v="8"/>
    <n v="3210"/>
    <n v="62"/>
    <n v="65"/>
    <n v="60"/>
    <n v="16"/>
  </r>
  <r>
    <x v="1"/>
    <s v="Student 2"/>
    <x v="1"/>
    <n v="76"/>
    <n v="70"/>
    <d v="2018-06-30T00:00:00"/>
    <n v="224"/>
    <n v="74.666666666666671"/>
    <x v="1"/>
    <s v="No"/>
    <s v="Student"/>
    <s v="STUDENT 2"/>
    <s v="student 2"/>
    <n v="8"/>
    <n v="3030"/>
    <n v="75"/>
    <n v="75"/>
    <n v="70"/>
    <n v="8"/>
  </r>
  <r>
    <x v="2"/>
    <s v="Student 3"/>
    <x v="2"/>
    <n v="60"/>
    <n v="51"/>
    <d v="2018-12-27T00:00:00"/>
    <n v="208"/>
    <n v="69.333333333333329"/>
    <x v="1"/>
    <s v="No"/>
    <s v="Student"/>
    <s v="STUDENT 3"/>
    <s v="student 3"/>
    <n v="7"/>
    <n v="2850"/>
    <n v="69"/>
    <n v="70"/>
    <n v="65"/>
    <n v="12"/>
  </r>
  <r>
    <x v="3"/>
    <s v="Student 4"/>
    <x v="3"/>
    <n v="55"/>
    <n v="46"/>
    <d v="2019-06-25T00:00:00"/>
    <n v="175"/>
    <n v="58.333333333333336"/>
    <x v="0"/>
    <s v="No"/>
    <s v="Student"/>
    <s v="STUDENT 4"/>
    <s v="student 4"/>
    <n v="7"/>
    <n v="2670"/>
    <n v="58"/>
    <n v="60"/>
    <n v="55"/>
    <n v="18"/>
  </r>
  <r>
    <x v="4"/>
    <s v="Student 5"/>
    <x v="4"/>
    <n v="74"/>
    <n v="84"/>
    <d v="2019-12-22T00:00:00"/>
    <n v="226"/>
    <n v="75.333333333333329"/>
    <x v="2"/>
    <s v="No"/>
    <s v="Student"/>
    <s v="STUDENT 5"/>
    <s v="student 5"/>
    <n v="6"/>
    <n v="2490"/>
    <n v="75"/>
    <n v="80"/>
    <n v="75"/>
    <n v="6"/>
  </r>
  <r>
    <x v="5"/>
    <s v="Student 6"/>
    <x v="5"/>
    <n v="70"/>
    <n v="65"/>
    <d v="2020-06-19T00:00:00"/>
    <n v="215"/>
    <n v="71.666666666666671"/>
    <x v="1"/>
    <s v="No"/>
    <s v="Student"/>
    <s v="STUDENT 6"/>
    <s v="student 6"/>
    <n v="6"/>
    <n v="2310"/>
    <n v="72"/>
    <n v="75"/>
    <n v="70"/>
    <n v="9"/>
  </r>
  <r>
    <x v="6"/>
    <s v="Student 7"/>
    <x v="6"/>
    <n v="47"/>
    <n v="78"/>
    <d v="2020-12-16T00:00:00"/>
    <n v="200"/>
    <n v="66.666666666666671"/>
    <x v="1"/>
    <s v="No"/>
    <s v="Student"/>
    <s v="STUDENT 7"/>
    <s v="student 7"/>
    <n v="5"/>
    <n v="2130"/>
    <n v="67"/>
    <n v="70"/>
    <n v="65"/>
    <n v="14"/>
  </r>
  <r>
    <x v="7"/>
    <s v="Student 8"/>
    <x v="7"/>
    <n v="67"/>
    <n v="64"/>
    <d v="2021-06-14T00:00:00"/>
    <n v="225"/>
    <n v="75"/>
    <x v="1"/>
    <s v="No"/>
    <s v="Student"/>
    <s v="STUDENT 8"/>
    <s v="student 8"/>
    <n v="5"/>
    <n v="1950"/>
    <n v="75"/>
    <n v="75"/>
    <n v="75"/>
    <n v="7"/>
  </r>
  <r>
    <x v="8"/>
    <s v="Student 9"/>
    <x v="8"/>
    <n v="75"/>
    <n v="56"/>
    <d v="2021-12-11T00:00:00"/>
    <n v="172"/>
    <n v="57.333333333333336"/>
    <x v="0"/>
    <s v="No"/>
    <s v="Student"/>
    <s v="STUDENT 9"/>
    <s v="student 9"/>
    <n v="4"/>
    <n v="1770"/>
    <n v="57"/>
    <n v="60"/>
    <n v="55"/>
    <n v="19"/>
  </r>
  <r>
    <x v="9"/>
    <s v="Student 10"/>
    <x v="9"/>
    <n v="54"/>
    <n v="58"/>
    <d v="2022-06-09T00:00:00"/>
    <n v="210"/>
    <n v="70"/>
    <x v="1"/>
    <s v="No"/>
    <s v="Student"/>
    <s v="STUDENT 10"/>
    <s v="student 10"/>
    <n v="4"/>
    <n v="1590"/>
    <n v="70"/>
    <n v="70"/>
    <n v="70"/>
    <n v="10"/>
  </r>
  <r>
    <x v="10"/>
    <s v="Student 11"/>
    <x v="10"/>
    <n v="79"/>
    <n v="53"/>
    <d v="2022-12-06T00:00:00"/>
    <n v="205"/>
    <n v="68.333333333333329"/>
    <x v="1"/>
    <s v="No"/>
    <s v="Student"/>
    <s v="STUDENT 11"/>
    <s v="student 11"/>
    <n v="3"/>
    <n v="1410"/>
    <n v="68"/>
    <n v="70"/>
    <n v="65"/>
    <n v="13"/>
  </r>
  <r>
    <x v="11"/>
    <s v="Student 12"/>
    <x v="11"/>
    <n v="89"/>
    <n v="79"/>
    <d v="2023-06-04T00:00:00"/>
    <n v="253"/>
    <n v="84.333333333333329"/>
    <x v="2"/>
    <s v="Yes"/>
    <s v="Student"/>
    <s v="STUDENT 12"/>
    <s v="student 12"/>
    <n v="3"/>
    <n v="1230"/>
    <n v="84"/>
    <n v="85"/>
    <n v="80"/>
    <n v="2"/>
  </r>
  <r>
    <x v="12"/>
    <s v="Student 13"/>
    <x v="9"/>
    <n v="90"/>
    <n v="97"/>
    <d v="2023-12-01T00:00:00"/>
    <n v="285"/>
    <n v="95"/>
    <x v="2"/>
    <s v="Yes"/>
    <s v="Student"/>
    <s v="STUDENT 13"/>
    <s v="student 13"/>
    <n v="2"/>
    <n v="1050"/>
    <n v="95"/>
    <n v="95"/>
    <n v="95"/>
    <n v="1"/>
  </r>
  <r>
    <x v="13"/>
    <s v="Student 14"/>
    <x v="12"/>
    <n v="40"/>
    <n v="44"/>
    <d v="2024-05-29T00:00:00"/>
    <n v="177"/>
    <n v="59"/>
    <x v="0"/>
    <s v="No"/>
    <s v="Student"/>
    <s v="STUDENT 14"/>
    <s v="student 14"/>
    <n v="2"/>
    <n v="870"/>
    <n v="59"/>
    <n v="60"/>
    <n v="55"/>
    <n v="17"/>
  </r>
  <r>
    <x v="14"/>
    <s v="Student 15"/>
    <x v="13"/>
    <n v="51"/>
    <n v="75"/>
    <d v="2024-11-25T00:00:00"/>
    <n v="196"/>
    <n v="65.333333333333329"/>
    <x v="1"/>
    <s v="No"/>
    <s v="Student"/>
    <s v="STUDENT 15"/>
    <s v="student 15"/>
    <n v="1"/>
    <n v="690"/>
    <n v="65"/>
    <n v="70"/>
    <n v="65"/>
    <n v="15"/>
  </r>
  <r>
    <x v="15"/>
    <s v="Student 16"/>
    <x v="9"/>
    <n v="77"/>
    <n v="60"/>
    <d v="2025-05-24T00:00:00"/>
    <n v="235"/>
    <n v="78.333333333333329"/>
    <x v="2"/>
    <s v="No"/>
    <s v="Student"/>
    <s v="STUDENT 16"/>
    <s v="student 16"/>
    <n v="1"/>
    <n v="510"/>
    <n v="78"/>
    <n v="80"/>
    <n v="75"/>
    <n v="3"/>
  </r>
  <r>
    <x v="16"/>
    <s v="Student 17"/>
    <x v="14"/>
    <n v="59"/>
    <n v="40"/>
    <d v="2025-11-20T00:00:00"/>
    <n v="165"/>
    <n v="55"/>
    <x v="3"/>
    <s v="No"/>
    <s v="Student"/>
    <s v="STUDENT 17"/>
    <s v="student 17"/>
    <n v="0"/>
    <n v="330"/>
    <n v="55"/>
    <n v="55"/>
    <n v="55"/>
    <n v="20"/>
  </r>
  <r>
    <x v="17"/>
    <s v="Student 18"/>
    <x v="15"/>
    <n v="48"/>
    <n v="79"/>
    <d v="2026-05-19T00:00:00"/>
    <n v="209"/>
    <n v="69.666666666666671"/>
    <x v="1"/>
    <s v="No"/>
    <s v="Student"/>
    <s v="STUDENT 18"/>
    <s v="student 18"/>
    <n v="0"/>
    <n v="150"/>
    <n v="70"/>
    <n v="70"/>
    <n v="65"/>
    <n v="11"/>
  </r>
  <r>
    <x v="18"/>
    <s v="Student 19"/>
    <x v="16"/>
    <n v="78"/>
    <n v="60"/>
    <d v="2026-11-15T00:00:00"/>
    <n v="228"/>
    <n v="76"/>
    <x v="2"/>
    <s v="No"/>
    <s v="Student"/>
    <s v="STUDENT 19"/>
    <s v="student 19"/>
    <s v="Not Found"/>
    <s v="Not Found"/>
    <n v="76"/>
    <n v="80"/>
    <n v="75"/>
    <n v="5"/>
  </r>
  <r>
    <x v="19"/>
    <s v="Student 20"/>
    <x v="17"/>
    <n v="92"/>
    <n v="55"/>
    <d v="2027-05-14T00:00:00"/>
    <n v="230"/>
    <n v="76.666666666666671"/>
    <x v="2"/>
    <s v="Yes"/>
    <s v="Student"/>
    <s v="STUDENT 20"/>
    <s v="student 20"/>
    <s v="Not Found"/>
    <s v="Not Found"/>
    <n v="77"/>
    <n v="80"/>
    <n v="75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 rowHeaderCaption="Student ID">
  <location ref="A47:C68" firstHeaderRow="0" firstDataRow="1" firstDataCol="1"/>
  <pivotFields count="19">
    <pivotField axis="axisRow" numFmtId="1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numFmtId="1" showAll="0">
      <items count="19">
        <item x="8"/>
        <item x="0"/>
        <item x="14"/>
        <item x="4"/>
        <item x="13"/>
        <item x="10"/>
        <item x="3"/>
        <item x="6"/>
        <item x="1"/>
        <item x="5"/>
        <item x="15"/>
        <item x="17"/>
        <item x="11"/>
        <item x="16"/>
        <item x="12"/>
        <item x="7"/>
        <item x="2"/>
        <item x="9"/>
        <item t="default"/>
      </items>
    </pivotField>
    <pivotField numFmtId="1" showAll="0"/>
    <pivotField numFmtId="1" showAll="0"/>
    <pivotField numFmtId="164" showAll="0"/>
    <pivotField numFmtId="1"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verage" fld="7" baseField="0" baseItem="0" numFmtId="2"/>
    <dataField name="Sum of Rank" fld="18" baseField="0" baseItem="0"/>
  </dataFields>
  <formats count="20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1">
          <reference field="0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fieldPosition="0">
        <references count="1">
          <reference field="0" count="0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Grades">
  <location ref="A39:B44" firstHeaderRow="1" firstDataRow="1" firstDataCol="1"/>
  <pivotFields count="19">
    <pivotField numFmtId="1" showAll="0"/>
    <pivotField dataField="1" showAll="0"/>
    <pivotField numFmtId="1" showAll="0"/>
    <pivotField numFmtId="1" showAll="0"/>
    <pivotField numFmtId="1" showAll="0"/>
    <pivotField numFmtId="164" showAll="0"/>
    <pivotField numFmtId="1" showAll="0"/>
    <pivotField numFmtId="2"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umber Of Student" fld="1" subtotal="count" baseField="8" baseItem="0"/>
  </dataFields>
  <formats count="21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8" type="button" dataOnly="0" labelOnly="1" outline="0" axis="axisRow" fieldPosition="0"/>
    </format>
    <format dxfId="37">
      <pivotArea dataOnly="0" labelOnly="1" outline="0" axis="axisValues" fieldPosition="0"/>
    </format>
    <format dxfId="36">
      <pivotArea dataOnly="0" labelOnly="1" fieldPosition="0">
        <references count="1">
          <reference field="8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8" type="button" dataOnly="0" labelOnly="1" outline="0" axis="axisRow" fieldPosition="0"/>
    </format>
    <format dxfId="30">
      <pivotArea dataOnly="0" labelOnly="1" outline="0" axis="axisValues" fieldPosition="0"/>
    </format>
    <format dxfId="29">
      <pivotArea dataOnly="0" labelOnly="1" fieldPosition="0">
        <references count="1">
          <reference field="8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8" type="button" dataOnly="0" labelOnly="1" outline="0" axis="axisRow" fieldPosition="0"/>
    </format>
    <format dxfId="23">
      <pivotArea dataOnly="0" labelOnly="1" outline="0" axis="axisValues" fieldPosition="0"/>
    </format>
    <format dxfId="22">
      <pivotArea dataOnly="0" labelOnly="1" fieldPosition="0">
        <references count="1">
          <reference field="8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Department" colHeaderCaption="Salary Band">
  <location ref="A30:E36" firstHeaderRow="1" firstDataRow="2" firstDataCol="1"/>
  <pivotFields count="15">
    <pivotField numFmtId="1" showAll="0"/>
    <pivotField dataField="1" showAll="0"/>
    <pivotField axis="axisRow" showAll="0">
      <items count="5">
        <item x="0"/>
        <item x="1"/>
        <item x="2"/>
        <item x="3"/>
        <item t="default"/>
      </items>
    </pivotField>
    <pivotField numFmtId="165" showAll="0"/>
    <pivotField numFmtId="164"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unt of Name" fld="1" subtotal="count" baseField="0" baseItem="0"/>
  </dataFields>
  <formats count="32">
    <format dxfId="74">
      <pivotArea type="all" dataOnly="0" outline="0" fieldPosition="0"/>
    </format>
    <format dxfId="73">
      <pivotArea outline="0" collapsedLevelsAreSubtotals="1" fieldPosition="0"/>
    </format>
    <format dxfId="72">
      <pivotArea type="origin" dataOnly="0" labelOnly="1" outline="0" fieldPosition="0"/>
    </format>
    <format dxfId="71">
      <pivotArea field="9" type="button" dataOnly="0" labelOnly="1" outline="0" axis="axisCol" fieldPosition="0"/>
    </format>
    <format dxfId="70">
      <pivotArea type="topRight" dataOnly="0" labelOnly="1" outline="0" fieldPosition="0"/>
    </format>
    <format dxfId="69">
      <pivotArea field="2" type="button" dataOnly="0" labelOnly="1" outline="0" axis="axisRow" fieldPosition="0"/>
    </format>
    <format dxfId="68">
      <pivotArea dataOnly="0" labelOnly="1" fieldPosition="0">
        <references count="1">
          <reference field="2" count="0"/>
        </references>
      </pivotArea>
    </format>
    <format dxfId="67">
      <pivotArea dataOnly="0" labelOnly="1" grandRow="1" outline="0" fieldPosition="0"/>
    </format>
    <format dxfId="66">
      <pivotArea dataOnly="0" labelOnly="1" fieldPosition="0">
        <references count="1">
          <reference field="9" count="0"/>
        </references>
      </pivotArea>
    </format>
    <format dxfId="65">
      <pivotArea dataOnly="0" labelOnly="1" grandCol="1" outline="0" fieldPosition="0"/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type="origin" dataOnly="0" labelOnly="1" outline="0" fieldPosition="0"/>
    </format>
    <format dxfId="61">
      <pivotArea field="9" type="button" dataOnly="0" labelOnly="1" outline="0" axis="axisCol" fieldPosition="0"/>
    </format>
    <format dxfId="60">
      <pivotArea type="topRight" dataOnly="0" labelOnly="1" outline="0" fieldPosition="0"/>
    </format>
    <format dxfId="59">
      <pivotArea field="2" type="button" dataOnly="0" labelOnly="1" outline="0" axis="axisRow" fieldPosition="0"/>
    </format>
    <format dxfId="58">
      <pivotArea dataOnly="0" labelOnly="1" fieldPosition="0">
        <references count="1">
          <reference field="2" count="0"/>
        </references>
      </pivotArea>
    </format>
    <format dxfId="57">
      <pivotArea dataOnly="0" labelOnly="1" grandRow="1" outline="0" fieldPosition="0"/>
    </format>
    <format dxfId="56">
      <pivotArea dataOnly="0" labelOnly="1" fieldPosition="0">
        <references count="1">
          <reference field="9" count="0"/>
        </references>
      </pivotArea>
    </format>
    <format dxfId="55">
      <pivotArea dataOnly="0" labelOnly="1" grandCol="1" outline="0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type="origin" dataOnly="0" labelOnly="1" outline="0" fieldPosition="0"/>
    </format>
    <format dxfId="51">
      <pivotArea field="9" type="button" dataOnly="0" labelOnly="1" outline="0" axis="axisCol" fieldPosition="0"/>
    </format>
    <format dxfId="50">
      <pivotArea type="topRight" dataOnly="0" labelOnly="1" outline="0" fieldPosition="0"/>
    </format>
    <format dxfId="49">
      <pivotArea field="2" type="button" dataOnly="0" labelOnly="1" outline="0" axis="axisRow" fieldPosition="0"/>
    </format>
    <format dxfId="48">
      <pivotArea dataOnly="0" labelOnly="1" fieldPosition="0">
        <references count="1">
          <reference field="2" count="0"/>
        </references>
      </pivotArea>
    </format>
    <format dxfId="47">
      <pivotArea dataOnly="0" labelOnly="1" grandRow="1" outline="0" fieldPosition="0"/>
    </format>
    <format dxfId="46">
      <pivotArea dataOnly="0" labelOnly="1" fieldPosition="0">
        <references count="1">
          <reference field="9" count="0"/>
        </references>
      </pivotArea>
    </format>
    <format dxfId="45">
      <pivotArea dataOnly="0" labelOnly="1" grandCol="1" outline="0" fieldPosition="0"/>
    </format>
    <format dxfId="42">
      <pivotArea outline="0" collapsedLevelsAreSubtotals="1" fieldPosition="0"/>
    </format>
    <format dxfId="41">
      <pivotArea outline="0" collapsedLevelsAreSubtotals="1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Region">
  <location ref="A22:D27" firstHeaderRow="0" firstDataRow="1" firstDataCol="1"/>
  <pivotFields count="16">
    <pivotField numFmtId="1"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numFmtId="165" showAll="0"/>
    <pivotField numFmtId="164" showAll="0"/>
    <pivotField showAll="0"/>
    <pivotField showAll="0"/>
    <pivotField dataField="1" showAll="0"/>
    <pivotField dataField="1" numFmtId="165" showAll="0"/>
    <pivotField showAll="0"/>
    <pivotField numFmtId="165"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" fld="4" baseField="0" baseItem="0"/>
    <dataField name="Sum of Discount Amount" fld="8" baseField="0" baseItem="0"/>
    <dataField name="Sum of Net Amount" fld="9" baseField="0" baseItem="0"/>
  </dataFields>
  <formats count="19"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2" type="button" dataOnly="0" labelOnly="1" outline="0" axis="axisRow" fieldPosition="0"/>
    </format>
    <format dxfId="89">
      <pivotArea dataOnly="0" labelOnly="1" fieldPosition="0">
        <references count="1">
          <reference field="2" count="0"/>
        </references>
      </pivotArea>
    </format>
    <format dxfId="88">
      <pivotArea dataOnly="0" labelOnly="1" grandRow="1" outline="0" fieldPosition="0"/>
    </format>
    <format dxfId="8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2" type="button" dataOnly="0" labelOnly="1" outline="0" axis="axisRow" fieldPosition="0"/>
    </format>
    <format dxfId="83">
      <pivotArea dataOnly="0" labelOnly="1" fieldPosition="0">
        <references count="1">
          <reference field="2" count="0"/>
        </references>
      </pivotArea>
    </format>
    <format dxfId="82">
      <pivotArea dataOnly="0" labelOnly="1" grandRow="1" outline="0" fieldPosition="0"/>
    </format>
    <format dxfId="8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2" type="button" dataOnly="0" labelOnly="1" outline="0" axis="axisRow" fieldPosition="0"/>
    </format>
    <format dxfId="77">
      <pivotArea dataOnly="0" labelOnly="1" fieldPosition="0">
        <references count="1">
          <reference field="2" count="0"/>
        </references>
      </pivotArea>
    </format>
    <format dxfId="76">
      <pivotArea dataOnly="0" labelOnly="1" grandRow="1" outline="0" fieldPosition="0"/>
    </format>
    <format dxfId="7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3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Products">
  <location ref="A13:D19" firstHeaderRow="0" firstDataRow="1" firstDataCol="1"/>
  <pivotFields count="16">
    <pivotField numFmtId="1" showAll="0"/>
    <pivotField axis="axisRow"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dataField="1" numFmtId="165" showAll="0"/>
    <pivotField numFmtId="164" showAll="0"/>
    <pivotField showAll="0"/>
    <pivotField showAll="0"/>
    <pivotField dataField="1" showAll="0"/>
    <pivotField dataField="1" numFmtId="165" showAll="0"/>
    <pivotField showAll="0"/>
    <pivotField numFmtId="165"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mounts" fld="4" baseField="1" baseItem="0"/>
    <dataField name="Discount Amounts" fld="8" baseField="1" baseItem="0"/>
    <dataField name="Net Amounts" fld="9" baseField="1" baseItem="0"/>
  </dataFields>
  <formats count="19"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1" type="button" dataOnly="0" labelOnly="1" outline="0" axis="axisRow" fieldPosition="0"/>
    </format>
    <format dxfId="113">
      <pivotArea dataOnly="0" labelOnly="1" fieldPosition="0">
        <references count="1">
          <reference field="1" count="0"/>
        </references>
      </pivotArea>
    </format>
    <format dxfId="112">
      <pivotArea dataOnly="0" labelOnly="1" grandRow="1" outline="0" fieldPosition="0"/>
    </format>
    <format dxfId="1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1" type="button" dataOnly="0" labelOnly="1" outline="0" axis="axisRow" fieldPosition="0"/>
    </format>
    <format dxfId="107">
      <pivotArea dataOnly="0" labelOnly="1" fieldPosition="0">
        <references count="1">
          <reference field="1" count="0"/>
        </references>
      </pivotArea>
    </format>
    <format dxfId="106">
      <pivotArea dataOnly="0" labelOnly="1" grandRow="1" outline="0" fieldPosition="0"/>
    </format>
    <format dxfId="10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1" type="button" dataOnly="0" labelOnly="1" outline="0" axis="axisRow" fieldPosition="0"/>
    </format>
    <format dxfId="101">
      <pivotArea dataOnly="0" labelOnly="1" fieldPosition="0">
        <references count="1">
          <reference field="1" count="0"/>
        </references>
      </pivotArea>
    </format>
    <format dxfId="100">
      <pivotArea dataOnly="0" labelOnly="1" grandRow="1" outline="0" fieldPosition="0"/>
    </format>
    <format dxfId="9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4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Region" colHeaderCaption="Product">
  <location ref="A4:G10" firstHeaderRow="1" firstDataRow="2" firstDataCol="1"/>
  <pivotFields count="16">
    <pivotField numFmtI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>
      <items count="6">
        <item x="0"/>
        <item x="4"/>
        <item x="3"/>
        <item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5">
        <item x="2"/>
        <item x="3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ales" fld="4" baseField="0" baseItem="0" numFmtId="167"/>
  </dataFields>
  <formats count="22">
    <format dxfId="132">
      <pivotArea type="origin" dataOnly="0" labelOnly="1" outline="0" fieldPosition="0"/>
    </format>
    <format dxfId="131">
      <pivotArea field="1" type="button" dataOnly="0" labelOnly="1" outline="0" axis="axisCol" fieldPosition="0"/>
    </format>
    <format dxfId="130">
      <pivotArea type="topRight" dataOnly="0" labelOnly="1" outline="0" fieldPosition="0"/>
    </format>
    <format dxfId="129">
      <pivotArea type="all" dataOnly="0" outline="0" fieldPosition="0"/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type="all" dataOnly="0" outline="0" fieldPosition="0"/>
    </format>
    <format dxfId="125">
      <pivotArea outline="0" collapsedLevelsAreSubtotals="1" fieldPosition="0"/>
    </format>
    <format dxfId="124">
      <pivotArea type="origin" dataOnly="0" labelOnly="1" outline="0" fieldPosition="0"/>
    </format>
    <format dxfId="123">
      <pivotArea field="1" type="button" dataOnly="0" labelOnly="1" outline="0" axis="axisCol" fieldPosition="0"/>
    </format>
    <format dxfId="122">
      <pivotArea type="topRight" dataOnly="0" labelOnly="1" outline="0" fieldPosition="0"/>
    </format>
    <format dxfId="121">
      <pivotArea field="2" type="button" dataOnly="0" labelOnly="1" outline="0" axis="axisRow" fieldPosition="0"/>
    </format>
    <format dxfId="120">
      <pivotArea dataOnly="0" labelOnly="1" fieldPosition="0">
        <references count="1">
          <reference field="2" count="0"/>
        </references>
      </pivotArea>
    </format>
    <format dxfId="119">
      <pivotArea dataOnly="0" labelOnly="1" grandRow="1" outline="0" fieldPosition="0"/>
    </format>
    <format dxfId="118">
      <pivotArea dataOnly="0" labelOnly="1" fieldPosition="0">
        <references count="1">
          <reference field="1" count="0"/>
        </references>
      </pivotArea>
    </format>
    <format dxfId="117">
      <pivotArea dataOnly="0" labelOnly="1" grandCol="1" outline="0" fieldPosition="0"/>
    </format>
    <format dxfId="98">
      <pivotArea type="origin" dataOnly="0" labelOnly="1" outline="0" fieldPosition="0"/>
    </format>
    <format dxfId="97">
      <pivotArea field="1" type="button" dataOnly="0" labelOnly="1" outline="0" axis="axisCol" fieldPosition="0"/>
    </format>
    <format dxfId="96">
      <pivotArea type="topRight" dataOnly="0" labelOnly="1" outline="0" fieldPosition="0"/>
    </format>
    <format dxfId="95">
      <pivotArea type="origin" dataOnly="0" labelOnly="1" outline="0" fieldPosition="0"/>
    </format>
    <format dxfId="94">
      <pivotArea field="1" type="button" dataOnly="0" labelOnly="1" outline="0" axis="axisCol" fieldPosition="0"/>
    </format>
    <format dxfId="93">
      <pivotArea type="topRight" dataOnly="0" labelOnly="1" outline="0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zoomScale="80" workbookViewId="0">
      <selection activeCell="D8" sqref="D8"/>
    </sheetView>
  </sheetViews>
  <sheetFormatPr defaultRowHeight="14.5" x14ac:dyDescent="0.35"/>
  <cols>
    <col min="1" max="1" width="11.6328125" customWidth="1"/>
    <col min="2" max="2" width="12.08984375" customWidth="1"/>
    <col min="6" max="6" width="12.26953125" customWidth="1"/>
    <col min="8" max="8" width="8.7265625" style="19"/>
    <col min="9" max="9" width="11.54296875" customWidth="1"/>
    <col min="10" max="10" width="15.26953125" customWidth="1"/>
    <col min="11" max="11" width="11" customWidth="1"/>
    <col min="12" max="12" width="13" customWidth="1"/>
    <col min="13" max="14" width="11.36328125" customWidth="1"/>
    <col min="15" max="15" width="15.36328125" customWidth="1"/>
    <col min="16" max="16" width="11.81640625" customWidth="1"/>
    <col min="17" max="17" width="11" customWidth="1"/>
    <col min="18" max="18" width="11.08984375" customWidth="1"/>
    <col min="19" max="19" width="9.90625" customWidth="1"/>
  </cols>
  <sheetData>
    <row r="1" spans="1:19" ht="52.5" customHeight="1" x14ac:dyDescent="0.35">
      <c r="A1" s="13" t="s">
        <v>84</v>
      </c>
      <c r="B1" s="13" t="s">
        <v>1</v>
      </c>
      <c r="C1" s="13" t="s">
        <v>85</v>
      </c>
      <c r="D1" s="13" t="s">
        <v>86</v>
      </c>
      <c r="E1" s="13" t="s">
        <v>87</v>
      </c>
      <c r="F1" s="13" t="s">
        <v>88</v>
      </c>
      <c r="G1" s="14" t="s">
        <v>89</v>
      </c>
      <c r="H1" s="18" t="s">
        <v>90</v>
      </c>
      <c r="I1" s="14" t="s">
        <v>91</v>
      </c>
      <c r="J1" s="14" t="s">
        <v>92</v>
      </c>
      <c r="K1" s="14" t="s">
        <v>93</v>
      </c>
      <c r="L1" s="14" t="s">
        <v>12</v>
      </c>
      <c r="M1" s="14" t="s">
        <v>94</v>
      </c>
      <c r="N1" s="14" t="s">
        <v>95</v>
      </c>
      <c r="O1" s="14" t="s">
        <v>96</v>
      </c>
      <c r="P1" s="14" t="s">
        <v>97</v>
      </c>
      <c r="Q1" s="14" t="s">
        <v>98</v>
      </c>
      <c r="R1" s="14" t="s">
        <v>99</v>
      </c>
      <c r="S1" s="14" t="s">
        <v>100</v>
      </c>
    </row>
    <row r="2" spans="1:19" ht="17" customHeight="1" x14ac:dyDescent="0.35">
      <c r="A2" s="17">
        <v>1001</v>
      </c>
      <c r="B2" s="16" t="s">
        <v>101</v>
      </c>
      <c r="C2" s="17">
        <v>61</v>
      </c>
      <c r="D2" s="17">
        <v>48</v>
      </c>
      <c r="E2" s="17">
        <v>76</v>
      </c>
      <c r="F2" s="15">
        <v>43101</v>
      </c>
      <c r="G2" s="20">
        <f>SUM(C2,D2,E2)</f>
        <v>185</v>
      </c>
      <c r="H2" s="21">
        <f>AVERAGE(C2,D2,E2)</f>
        <v>61.666666666666664</v>
      </c>
      <c r="I2" s="22" t="str">
        <f>IF(H2&gt;75,"A",IF(H2&gt;65,"B",IF(H2&gt;55,"C","D")))</f>
        <v>C</v>
      </c>
      <c r="J2" s="22" t="str">
        <f>IF(AND(C2&gt;80,D2&gt;80),"Yes","No")</f>
        <v>No</v>
      </c>
      <c r="K2" s="22" t="str">
        <f>LEFT(B3,FIND(" ",B3)-1)</f>
        <v>Student</v>
      </c>
      <c r="L2" s="22" t="str">
        <f>UPPER(B2)</f>
        <v>STUDENT 1</v>
      </c>
      <c r="M2" s="22" t="str">
        <f>LOWER(B2)</f>
        <v>student 1</v>
      </c>
      <c r="N2" s="22">
        <f>IFERROR(IF(F2&gt;"17-Oct-2026","Not yet enrolled",DATEDIF(F2,"16-Oct-2026","Y")),"Not Found")</f>
        <v>8</v>
      </c>
      <c r="O2" s="22">
        <f>IFERROR(IF(F2&gt;"17-Oct-2026","Not yet enrolled",DATEDIF(F2,"16-Oct-2026","D")),"Not Found")</f>
        <v>3210</v>
      </c>
      <c r="P2" s="21">
        <f>ROUND(H2,0)</f>
        <v>62</v>
      </c>
      <c r="Q2" s="22">
        <f>CEILING(H2,5)</f>
        <v>65</v>
      </c>
      <c r="R2" s="22">
        <f>FLOOR(H2,5)</f>
        <v>60</v>
      </c>
      <c r="S2" s="22">
        <f>RANK(H2,$H$2:$H$21)</f>
        <v>16</v>
      </c>
    </row>
    <row r="3" spans="1:19" ht="17" customHeight="1" x14ac:dyDescent="0.35">
      <c r="A3" s="17">
        <v>1002</v>
      </c>
      <c r="B3" s="16" t="s">
        <v>102</v>
      </c>
      <c r="C3" s="17">
        <v>78</v>
      </c>
      <c r="D3" s="17">
        <v>76</v>
      </c>
      <c r="E3" s="17">
        <v>70</v>
      </c>
      <c r="F3" s="15">
        <v>43281</v>
      </c>
      <c r="G3" s="20">
        <f t="shared" ref="G3:G21" si="0">SUM(C3,D3,E3)</f>
        <v>224</v>
      </c>
      <c r="H3" s="21">
        <f t="shared" ref="H3:H21" si="1">AVERAGE(C3,D3,E3)</f>
        <v>74.666666666666671</v>
      </c>
      <c r="I3" s="22" t="str">
        <f t="shared" ref="I3:I21" si="2">IF(H3&gt;75,"A",IF(H3&gt;65,"B",IF(H3&gt;55,"C","D")))</f>
        <v>B</v>
      </c>
      <c r="J3" s="22" t="str">
        <f t="shared" ref="J3:J21" si="3">IF(AND(C3&gt;80,D3&gt;80),"Yes","No")</f>
        <v>No</v>
      </c>
      <c r="K3" s="22" t="str">
        <f t="shared" ref="K3:K20" si="4">LEFT(B4,FIND(" ",B4)-1)</f>
        <v>Student</v>
      </c>
      <c r="L3" s="22" t="str">
        <f t="shared" ref="L3:L21" si="5">UPPER(B3)</f>
        <v>STUDENT 2</v>
      </c>
      <c r="M3" s="22" t="str">
        <f t="shared" ref="M3:M21" si="6">LOWER(B3)</f>
        <v>student 2</v>
      </c>
      <c r="N3" s="22">
        <f t="shared" ref="N3:N21" si="7">IFERROR(IF(F3&gt;"17-Oct-2026","Not yet enrolled",DATEDIF(F3,"16-Oct-2026","Y")),"Not Found")</f>
        <v>8</v>
      </c>
      <c r="O3" s="22">
        <f t="shared" ref="O3:O21" si="8">IFERROR(IF(F3&gt;"17-Oct-2026","Not yet enrolled",DATEDIF(F3,"16-Oct-2026","D")),"Not Found")</f>
        <v>3030</v>
      </c>
      <c r="P3" s="21">
        <f t="shared" ref="P3:P21" si="9">ROUND(H3,0)</f>
        <v>75</v>
      </c>
      <c r="Q3" s="22">
        <f t="shared" ref="Q3:Q21" si="10">CEILING(H3,5)</f>
        <v>75</v>
      </c>
      <c r="R3" s="22">
        <f t="shared" ref="R3:R21" si="11">FLOOR(H3,5)</f>
        <v>70</v>
      </c>
      <c r="S3" s="22">
        <f t="shared" ref="S3:S21" si="12">RANK(H3,$H$2:$H$21)</f>
        <v>8</v>
      </c>
    </row>
    <row r="4" spans="1:19" ht="17" customHeight="1" x14ac:dyDescent="0.35">
      <c r="A4" s="17">
        <v>1003</v>
      </c>
      <c r="B4" s="16" t="s">
        <v>103</v>
      </c>
      <c r="C4" s="17">
        <v>97</v>
      </c>
      <c r="D4" s="17">
        <v>60</v>
      </c>
      <c r="E4" s="17">
        <v>51</v>
      </c>
      <c r="F4" s="15">
        <v>43461</v>
      </c>
      <c r="G4" s="20">
        <f t="shared" si="0"/>
        <v>208</v>
      </c>
      <c r="H4" s="21">
        <f t="shared" si="1"/>
        <v>69.333333333333329</v>
      </c>
      <c r="I4" s="22" t="str">
        <f t="shared" si="2"/>
        <v>B</v>
      </c>
      <c r="J4" s="22" t="str">
        <f t="shared" si="3"/>
        <v>No</v>
      </c>
      <c r="K4" s="22" t="str">
        <f t="shared" si="4"/>
        <v>Student</v>
      </c>
      <c r="L4" s="22" t="str">
        <f t="shared" si="5"/>
        <v>STUDENT 3</v>
      </c>
      <c r="M4" s="22" t="str">
        <f t="shared" si="6"/>
        <v>student 3</v>
      </c>
      <c r="N4" s="22">
        <f t="shared" si="7"/>
        <v>7</v>
      </c>
      <c r="O4" s="22">
        <f t="shared" si="8"/>
        <v>2850</v>
      </c>
      <c r="P4" s="21">
        <f t="shared" si="9"/>
        <v>69</v>
      </c>
      <c r="Q4" s="22">
        <f t="shared" si="10"/>
        <v>70</v>
      </c>
      <c r="R4" s="22">
        <f t="shared" si="11"/>
        <v>65</v>
      </c>
      <c r="S4" s="22">
        <f t="shared" si="12"/>
        <v>12</v>
      </c>
    </row>
    <row r="5" spans="1:19" ht="17" customHeight="1" x14ac:dyDescent="0.35">
      <c r="A5" s="17">
        <v>1004</v>
      </c>
      <c r="B5" s="16" t="s">
        <v>104</v>
      </c>
      <c r="C5" s="17">
        <v>74</v>
      </c>
      <c r="D5" s="17">
        <v>55</v>
      </c>
      <c r="E5" s="17">
        <v>46</v>
      </c>
      <c r="F5" s="15">
        <v>43641</v>
      </c>
      <c r="G5" s="20">
        <f t="shared" si="0"/>
        <v>175</v>
      </c>
      <c r="H5" s="21">
        <f t="shared" si="1"/>
        <v>58.333333333333336</v>
      </c>
      <c r="I5" s="22" t="str">
        <f t="shared" si="2"/>
        <v>C</v>
      </c>
      <c r="J5" s="22" t="str">
        <f t="shared" si="3"/>
        <v>No</v>
      </c>
      <c r="K5" s="22" t="str">
        <f t="shared" si="4"/>
        <v>Student</v>
      </c>
      <c r="L5" s="22" t="str">
        <f t="shared" si="5"/>
        <v>STUDENT 4</v>
      </c>
      <c r="M5" s="22" t="str">
        <f t="shared" si="6"/>
        <v>student 4</v>
      </c>
      <c r="N5" s="22">
        <f t="shared" si="7"/>
        <v>7</v>
      </c>
      <c r="O5" s="22">
        <f t="shared" si="8"/>
        <v>2670</v>
      </c>
      <c r="P5" s="21">
        <f t="shared" si="9"/>
        <v>58</v>
      </c>
      <c r="Q5" s="22">
        <f t="shared" si="10"/>
        <v>60</v>
      </c>
      <c r="R5" s="22">
        <f t="shared" si="11"/>
        <v>55</v>
      </c>
      <c r="S5" s="22">
        <f t="shared" si="12"/>
        <v>18</v>
      </c>
    </row>
    <row r="6" spans="1:19" ht="16.5" customHeight="1" x14ac:dyDescent="0.35">
      <c r="A6" s="17">
        <v>1005</v>
      </c>
      <c r="B6" s="16" t="s">
        <v>105</v>
      </c>
      <c r="C6" s="17">
        <v>68</v>
      </c>
      <c r="D6" s="17">
        <v>74</v>
      </c>
      <c r="E6" s="17">
        <v>84</v>
      </c>
      <c r="F6" s="15">
        <v>43821</v>
      </c>
      <c r="G6" s="20">
        <f t="shared" si="0"/>
        <v>226</v>
      </c>
      <c r="H6" s="21">
        <f t="shared" si="1"/>
        <v>75.333333333333329</v>
      </c>
      <c r="I6" s="22" t="str">
        <f t="shared" si="2"/>
        <v>A</v>
      </c>
      <c r="J6" s="22" t="str">
        <f t="shared" si="3"/>
        <v>No</v>
      </c>
      <c r="K6" s="22" t="str">
        <f t="shared" si="4"/>
        <v>Student</v>
      </c>
      <c r="L6" s="22" t="str">
        <f t="shared" si="5"/>
        <v>STUDENT 5</v>
      </c>
      <c r="M6" s="22" t="str">
        <f t="shared" si="6"/>
        <v>student 5</v>
      </c>
      <c r="N6" s="22">
        <f t="shared" si="7"/>
        <v>6</v>
      </c>
      <c r="O6" s="22">
        <f t="shared" si="8"/>
        <v>2490</v>
      </c>
      <c r="P6" s="21">
        <f t="shared" si="9"/>
        <v>75</v>
      </c>
      <c r="Q6" s="22">
        <f t="shared" si="10"/>
        <v>80</v>
      </c>
      <c r="R6" s="22">
        <f t="shared" si="11"/>
        <v>75</v>
      </c>
      <c r="S6" s="22">
        <f t="shared" si="12"/>
        <v>6</v>
      </c>
    </row>
    <row r="7" spans="1:19" ht="17" customHeight="1" x14ac:dyDescent="0.35">
      <c r="A7" s="17">
        <v>1006</v>
      </c>
      <c r="B7" s="16" t="s">
        <v>106</v>
      </c>
      <c r="C7" s="17">
        <v>80</v>
      </c>
      <c r="D7" s="17">
        <v>70</v>
      </c>
      <c r="E7" s="17">
        <v>65</v>
      </c>
      <c r="F7" s="15">
        <v>44001</v>
      </c>
      <c r="G7" s="20">
        <f t="shared" si="0"/>
        <v>215</v>
      </c>
      <c r="H7" s="21">
        <f t="shared" si="1"/>
        <v>71.666666666666671</v>
      </c>
      <c r="I7" s="22" t="str">
        <f t="shared" si="2"/>
        <v>B</v>
      </c>
      <c r="J7" s="22" t="str">
        <f t="shared" si="3"/>
        <v>No</v>
      </c>
      <c r="K7" s="22" t="str">
        <f t="shared" si="4"/>
        <v>Student</v>
      </c>
      <c r="L7" s="22" t="str">
        <f t="shared" si="5"/>
        <v>STUDENT 6</v>
      </c>
      <c r="M7" s="22" t="str">
        <f t="shared" si="6"/>
        <v>student 6</v>
      </c>
      <c r="N7" s="22">
        <f t="shared" si="7"/>
        <v>6</v>
      </c>
      <c r="O7" s="22">
        <f t="shared" si="8"/>
        <v>2310</v>
      </c>
      <c r="P7" s="21">
        <f t="shared" si="9"/>
        <v>72</v>
      </c>
      <c r="Q7" s="22">
        <f t="shared" si="10"/>
        <v>75</v>
      </c>
      <c r="R7" s="22">
        <f t="shared" si="11"/>
        <v>70</v>
      </c>
      <c r="S7" s="22">
        <f t="shared" si="12"/>
        <v>9</v>
      </c>
    </row>
    <row r="8" spans="1:19" ht="17" customHeight="1" x14ac:dyDescent="0.35">
      <c r="A8" s="17">
        <v>1007</v>
      </c>
      <c r="B8" s="16" t="s">
        <v>107</v>
      </c>
      <c r="C8" s="17">
        <v>75</v>
      </c>
      <c r="D8" s="17">
        <v>47</v>
      </c>
      <c r="E8" s="17">
        <v>78</v>
      </c>
      <c r="F8" s="15">
        <v>44181</v>
      </c>
      <c r="G8" s="20">
        <f t="shared" si="0"/>
        <v>200</v>
      </c>
      <c r="H8" s="21">
        <f t="shared" si="1"/>
        <v>66.666666666666671</v>
      </c>
      <c r="I8" s="22" t="str">
        <f t="shared" si="2"/>
        <v>B</v>
      </c>
      <c r="J8" s="22" t="str">
        <f t="shared" si="3"/>
        <v>No</v>
      </c>
      <c r="K8" s="22" t="str">
        <f t="shared" si="4"/>
        <v>Student</v>
      </c>
      <c r="L8" s="22" t="str">
        <f t="shared" si="5"/>
        <v>STUDENT 7</v>
      </c>
      <c r="M8" s="22" t="str">
        <f t="shared" si="6"/>
        <v>student 7</v>
      </c>
      <c r="N8" s="22">
        <f t="shared" si="7"/>
        <v>5</v>
      </c>
      <c r="O8" s="22">
        <f t="shared" si="8"/>
        <v>2130</v>
      </c>
      <c r="P8" s="21">
        <f t="shared" si="9"/>
        <v>67</v>
      </c>
      <c r="Q8" s="22">
        <f t="shared" si="10"/>
        <v>70</v>
      </c>
      <c r="R8" s="22">
        <f t="shared" si="11"/>
        <v>65</v>
      </c>
      <c r="S8" s="22">
        <f t="shared" si="12"/>
        <v>14</v>
      </c>
    </row>
    <row r="9" spans="1:19" ht="16.5" customHeight="1" x14ac:dyDescent="0.35">
      <c r="A9" s="17">
        <v>1008</v>
      </c>
      <c r="B9" s="16" t="s">
        <v>108</v>
      </c>
      <c r="C9" s="17">
        <v>94</v>
      </c>
      <c r="D9" s="17">
        <v>67</v>
      </c>
      <c r="E9" s="17">
        <v>64</v>
      </c>
      <c r="F9" s="15">
        <v>44361</v>
      </c>
      <c r="G9" s="20">
        <f t="shared" si="0"/>
        <v>225</v>
      </c>
      <c r="H9" s="21">
        <f t="shared" si="1"/>
        <v>75</v>
      </c>
      <c r="I9" s="22" t="str">
        <f t="shared" si="2"/>
        <v>B</v>
      </c>
      <c r="J9" s="22" t="str">
        <f t="shared" si="3"/>
        <v>No</v>
      </c>
      <c r="K9" s="22" t="str">
        <f t="shared" si="4"/>
        <v>Student</v>
      </c>
      <c r="L9" s="22" t="str">
        <f t="shared" si="5"/>
        <v>STUDENT 8</v>
      </c>
      <c r="M9" s="22" t="str">
        <f t="shared" si="6"/>
        <v>student 8</v>
      </c>
      <c r="N9" s="22">
        <f t="shared" si="7"/>
        <v>5</v>
      </c>
      <c r="O9" s="22">
        <f t="shared" si="8"/>
        <v>1950</v>
      </c>
      <c r="P9" s="21">
        <f t="shared" si="9"/>
        <v>75</v>
      </c>
      <c r="Q9" s="22">
        <f t="shared" si="10"/>
        <v>75</v>
      </c>
      <c r="R9" s="22">
        <f t="shared" si="11"/>
        <v>75</v>
      </c>
      <c r="S9" s="22">
        <f t="shared" si="12"/>
        <v>7</v>
      </c>
    </row>
    <row r="10" spans="1:19" ht="17" customHeight="1" x14ac:dyDescent="0.35">
      <c r="A10" s="17">
        <v>1009</v>
      </c>
      <c r="B10" s="16" t="s">
        <v>109</v>
      </c>
      <c r="C10" s="17">
        <v>41</v>
      </c>
      <c r="D10" s="17">
        <v>75</v>
      </c>
      <c r="E10" s="17">
        <v>56</v>
      </c>
      <c r="F10" s="15">
        <v>44541</v>
      </c>
      <c r="G10" s="20">
        <f t="shared" si="0"/>
        <v>172</v>
      </c>
      <c r="H10" s="21">
        <f t="shared" si="1"/>
        <v>57.333333333333336</v>
      </c>
      <c r="I10" s="22" t="str">
        <f t="shared" si="2"/>
        <v>C</v>
      </c>
      <c r="J10" s="22" t="str">
        <f t="shared" si="3"/>
        <v>No</v>
      </c>
      <c r="K10" s="22" t="str">
        <f t="shared" si="4"/>
        <v>Student</v>
      </c>
      <c r="L10" s="22" t="str">
        <f t="shared" si="5"/>
        <v>STUDENT 9</v>
      </c>
      <c r="M10" s="22" t="str">
        <f t="shared" si="6"/>
        <v>student 9</v>
      </c>
      <c r="N10" s="22">
        <f t="shared" si="7"/>
        <v>4</v>
      </c>
      <c r="O10" s="22">
        <f t="shared" si="8"/>
        <v>1770</v>
      </c>
      <c r="P10" s="21">
        <f t="shared" si="9"/>
        <v>57</v>
      </c>
      <c r="Q10" s="22">
        <f t="shared" si="10"/>
        <v>60</v>
      </c>
      <c r="R10" s="22">
        <f t="shared" si="11"/>
        <v>55</v>
      </c>
      <c r="S10" s="22">
        <f t="shared" si="12"/>
        <v>19</v>
      </c>
    </row>
    <row r="11" spans="1:19" ht="16.5" customHeight="1" x14ac:dyDescent="0.35">
      <c r="A11" s="17">
        <v>1010</v>
      </c>
      <c r="B11" s="16" t="s">
        <v>110</v>
      </c>
      <c r="C11" s="17">
        <v>98</v>
      </c>
      <c r="D11" s="17">
        <v>54</v>
      </c>
      <c r="E11" s="17">
        <v>58</v>
      </c>
      <c r="F11" s="15">
        <v>44721</v>
      </c>
      <c r="G11" s="20">
        <f t="shared" si="0"/>
        <v>210</v>
      </c>
      <c r="H11" s="21">
        <f t="shared" si="1"/>
        <v>70</v>
      </c>
      <c r="I11" s="22" t="str">
        <f t="shared" si="2"/>
        <v>B</v>
      </c>
      <c r="J11" s="22" t="str">
        <f t="shared" si="3"/>
        <v>No</v>
      </c>
      <c r="K11" s="22" t="str">
        <f t="shared" si="4"/>
        <v>Student</v>
      </c>
      <c r="L11" s="22" t="str">
        <f t="shared" si="5"/>
        <v>STUDENT 10</v>
      </c>
      <c r="M11" s="22" t="str">
        <f t="shared" si="6"/>
        <v>student 10</v>
      </c>
      <c r="N11" s="22">
        <f t="shared" si="7"/>
        <v>4</v>
      </c>
      <c r="O11" s="22">
        <f t="shared" si="8"/>
        <v>1590</v>
      </c>
      <c r="P11" s="21">
        <f t="shared" si="9"/>
        <v>70</v>
      </c>
      <c r="Q11" s="22">
        <f t="shared" si="10"/>
        <v>70</v>
      </c>
      <c r="R11" s="22">
        <f t="shared" si="11"/>
        <v>70</v>
      </c>
      <c r="S11" s="22">
        <f t="shared" si="12"/>
        <v>10</v>
      </c>
    </row>
    <row r="12" spans="1:19" ht="17" customHeight="1" x14ac:dyDescent="0.35">
      <c r="A12" s="17">
        <v>1011</v>
      </c>
      <c r="B12" s="16" t="s">
        <v>111</v>
      </c>
      <c r="C12" s="17">
        <v>73</v>
      </c>
      <c r="D12" s="17">
        <v>79</v>
      </c>
      <c r="E12" s="17">
        <v>53</v>
      </c>
      <c r="F12" s="15">
        <v>44901</v>
      </c>
      <c r="G12" s="20">
        <f t="shared" si="0"/>
        <v>205</v>
      </c>
      <c r="H12" s="21">
        <f t="shared" si="1"/>
        <v>68.333333333333329</v>
      </c>
      <c r="I12" s="22" t="str">
        <f t="shared" si="2"/>
        <v>B</v>
      </c>
      <c r="J12" s="22" t="str">
        <f t="shared" si="3"/>
        <v>No</v>
      </c>
      <c r="K12" s="22" t="str">
        <f t="shared" si="4"/>
        <v>Student</v>
      </c>
      <c r="L12" s="22" t="str">
        <f t="shared" si="5"/>
        <v>STUDENT 11</v>
      </c>
      <c r="M12" s="22" t="str">
        <f t="shared" si="6"/>
        <v>student 11</v>
      </c>
      <c r="N12" s="22">
        <f t="shared" si="7"/>
        <v>3</v>
      </c>
      <c r="O12" s="22">
        <f t="shared" si="8"/>
        <v>1410</v>
      </c>
      <c r="P12" s="21">
        <f t="shared" si="9"/>
        <v>68</v>
      </c>
      <c r="Q12" s="22">
        <f t="shared" si="10"/>
        <v>70</v>
      </c>
      <c r="R12" s="22">
        <f t="shared" si="11"/>
        <v>65</v>
      </c>
      <c r="S12" s="22">
        <f t="shared" si="12"/>
        <v>13</v>
      </c>
    </row>
    <row r="13" spans="1:19" ht="17" customHeight="1" x14ac:dyDescent="0.35">
      <c r="A13" s="17">
        <v>1012</v>
      </c>
      <c r="B13" s="16" t="s">
        <v>112</v>
      </c>
      <c r="C13" s="17">
        <v>85</v>
      </c>
      <c r="D13" s="17">
        <v>89</v>
      </c>
      <c r="E13" s="17">
        <v>79</v>
      </c>
      <c r="F13" s="15">
        <v>45081</v>
      </c>
      <c r="G13" s="20">
        <f t="shared" si="0"/>
        <v>253</v>
      </c>
      <c r="H13" s="21">
        <f t="shared" si="1"/>
        <v>84.333333333333329</v>
      </c>
      <c r="I13" s="22" t="str">
        <f t="shared" si="2"/>
        <v>A</v>
      </c>
      <c r="J13" s="22" t="str">
        <f t="shared" si="3"/>
        <v>Yes</v>
      </c>
      <c r="K13" s="22" t="str">
        <f t="shared" si="4"/>
        <v>Student</v>
      </c>
      <c r="L13" s="22" t="str">
        <f t="shared" si="5"/>
        <v>STUDENT 12</v>
      </c>
      <c r="M13" s="22" t="str">
        <f t="shared" si="6"/>
        <v>student 12</v>
      </c>
      <c r="N13" s="22">
        <f t="shared" si="7"/>
        <v>3</v>
      </c>
      <c r="O13" s="22">
        <f t="shared" si="8"/>
        <v>1230</v>
      </c>
      <c r="P13" s="21">
        <f t="shared" si="9"/>
        <v>84</v>
      </c>
      <c r="Q13" s="22">
        <f t="shared" si="10"/>
        <v>85</v>
      </c>
      <c r="R13" s="22">
        <f t="shared" si="11"/>
        <v>80</v>
      </c>
      <c r="S13" s="22">
        <f t="shared" si="12"/>
        <v>2</v>
      </c>
    </row>
    <row r="14" spans="1:19" ht="16.5" customHeight="1" x14ac:dyDescent="0.35">
      <c r="A14" s="17">
        <v>1013</v>
      </c>
      <c r="B14" s="16" t="s">
        <v>113</v>
      </c>
      <c r="C14" s="17">
        <v>98</v>
      </c>
      <c r="D14" s="17">
        <v>90</v>
      </c>
      <c r="E14" s="17">
        <v>97</v>
      </c>
      <c r="F14" s="15">
        <v>45261</v>
      </c>
      <c r="G14" s="20">
        <f t="shared" si="0"/>
        <v>285</v>
      </c>
      <c r="H14" s="21">
        <f t="shared" si="1"/>
        <v>95</v>
      </c>
      <c r="I14" s="22" t="str">
        <f t="shared" si="2"/>
        <v>A</v>
      </c>
      <c r="J14" s="22" t="str">
        <f t="shared" si="3"/>
        <v>Yes</v>
      </c>
      <c r="K14" s="22" t="str">
        <f t="shared" si="4"/>
        <v>Student</v>
      </c>
      <c r="L14" s="22" t="str">
        <f t="shared" si="5"/>
        <v>STUDENT 13</v>
      </c>
      <c r="M14" s="22" t="str">
        <f t="shared" si="6"/>
        <v>student 13</v>
      </c>
      <c r="N14" s="22">
        <f t="shared" si="7"/>
        <v>2</v>
      </c>
      <c r="O14" s="22">
        <f t="shared" si="8"/>
        <v>1050</v>
      </c>
      <c r="P14" s="21">
        <f t="shared" si="9"/>
        <v>95</v>
      </c>
      <c r="Q14" s="22">
        <f t="shared" si="10"/>
        <v>95</v>
      </c>
      <c r="R14" s="22">
        <f t="shared" si="11"/>
        <v>95</v>
      </c>
      <c r="S14" s="22">
        <f t="shared" si="12"/>
        <v>1</v>
      </c>
    </row>
    <row r="15" spans="1:19" ht="17" customHeight="1" x14ac:dyDescent="0.35">
      <c r="A15" s="17">
        <v>1014</v>
      </c>
      <c r="B15" s="16" t="s">
        <v>114</v>
      </c>
      <c r="C15" s="17">
        <v>93</v>
      </c>
      <c r="D15" s="17">
        <v>40</v>
      </c>
      <c r="E15" s="17">
        <v>44</v>
      </c>
      <c r="F15" s="15">
        <v>45441</v>
      </c>
      <c r="G15" s="20">
        <f t="shared" si="0"/>
        <v>177</v>
      </c>
      <c r="H15" s="21">
        <f t="shared" si="1"/>
        <v>59</v>
      </c>
      <c r="I15" s="22" t="str">
        <f t="shared" si="2"/>
        <v>C</v>
      </c>
      <c r="J15" s="22" t="str">
        <f t="shared" si="3"/>
        <v>No</v>
      </c>
      <c r="K15" s="22" t="str">
        <f t="shared" si="4"/>
        <v>Student</v>
      </c>
      <c r="L15" s="22" t="str">
        <f t="shared" si="5"/>
        <v>STUDENT 14</v>
      </c>
      <c r="M15" s="22" t="str">
        <f t="shared" si="6"/>
        <v>student 14</v>
      </c>
      <c r="N15" s="22">
        <f t="shared" si="7"/>
        <v>2</v>
      </c>
      <c r="O15" s="22">
        <f t="shared" si="8"/>
        <v>870</v>
      </c>
      <c r="P15" s="21">
        <f t="shared" si="9"/>
        <v>59</v>
      </c>
      <c r="Q15" s="22">
        <f t="shared" si="10"/>
        <v>60</v>
      </c>
      <c r="R15" s="22">
        <f t="shared" si="11"/>
        <v>55</v>
      </c>
      <c r="S15" s="22">
        <f t="shared" si="12"/>
        <v>17</v>
      </c>
    </row>
    <row r="16" spans="1:19" ht="17" customHeight="1" x14ac:dyDescent="0.35">
      <c r="A16" s="17">
        <v>1015</v>
      </c>
      <c r="B16" s="16" t="s">
        <v>115</v>
      </c>
      <c r="C16" s="17">
        <v>70</v>
      </c>
      <c r="D16" s="17">
        <v>51</v>
      </c>
      <c r="E16" s="17">
        <v>75</v>
      </c>
      <c r="F16" s="15">
        <v>45621</v>
      </c>
      <c r="G16" s="20">
        <f t="shared" si="0"/>
        <v>196</v>
      </c>
      <c r="H16" s="21">
        <f t="shared" si="1"/>
        <v>65.333333333333329</v>
      </c>
      <c r="I16" s="22" t="str">
        <f t="shared" si="2"/>
        <v>B</v>
      </c>
      <c r="J16" s="22" t="str">
        <f t="shared" si="3"/>
        <v>No</v>
      </c>
      <c r="K16" s="22" t="str">
        <f t="shared" si="4"/>
        <v>Student</v>
      </c>
      <c r="L16" s="22" t="str">
        <f t="shared" si="5"/>
        <v>STUDENT 15</v>
      </c>
      <c r="M16" s="22" t="str">
        <f t="shared" si="6"/>
        <v>student 15</v>
      </c>
      <c r="N16" s="22">
        <f t="shared" si="7"/>
        <v>1</v>
      </c>
      <c r="O16" s="22">
        <f t="shared" si="8"/>
        <v>690</v>
      </c>
      <c r="P16" s="21">
        <f t="shared" si="9"/>
        <v>65</v>
      </c>
      <c r="Q16" s="22">
        <f t="shared" si="10"/>
        <v>70</v>
      </c>
      <c r="R16" s="22">
        <f t="shared" si="11"/>
        <v>65</v>
      </c>
      <c r="S16" s="22">
        <f t="shared" si="12"/>
        <v>15</v>
      </c>
    </row>
    <row r="17" spans="1:19" ht="16.5" customHeight="1" x14ac:dyDescent="0.35">
      <c r="A17" s="17">
        <v>1016</v>
      </c>
      <c r="B17" s="16" t="s">
        <v>116</v>
      </c>
      <c r="C17" s="17">
        <v>98</v>
      </c>
      <c r="D17" s="17">
        <v>77</v>
      </c>
      <c r="E17" s="17">
        <v>60</v>
      </c>
      <c r="F17" s="15">
        <v>45801</v>
      </c>
      <c r="G17" s="20">
        <f>SUM(C17,D17,E17)</f>
        <v>235</v>
      </c>
      <c r="H17" s="21">
        <f t="shared" si="1"/>
        <v>78.333333333333329</v>
      </c>
      <c r="I17" s="22" t="str">
        <f t="shared" si="2"/>
        <v>A</v>
      </c>
      <c r="J17" s="22" t="str">
        <f t="shared" si="3"/>
        <v>No</v>
      </c>
      <c r="K17" s="22" t="str">
        <f t="shared" si="4"/>
        <v>Student</v>
      </c>
      <c r="L17" s="22" t="str">
        <f t="shared" si="5"/>
        <v>STUDENT 16</v>
      </c>
      <c r="M17" s="22" t="str">
        <f t="shared" si="6"/>
        <v>student 16</v>
      </c>
      <c r="N17" s="22">
        <f t="shared" si="7"/>
        <v>1</v>
      </c>
      <c r="O17" s="22">
        <f t="shared" si="8"/>
        <v>510</v>
      </c>
      <c r="P17" s="21">
        <f t="shared" si="9"/>
        <v>78</v>
      </c>
      <c r="Q17" s="22">
        <f t="shared" si="10"/>
        <v>80</v>
      </c>
      <c r="R17" s="22">
        <f t="shared" si="11"/>
        <v>75</v>
      </c>
      <c r="S17" s="22">
        <f t="shared" si="12"/>
        <v>3</v>
      </c>
    </row>
    <row r="18" spans="1:19" ht="17.5" customHeight="1" x14ac:dyDescent="0.35">
      <c r="A18" s="17">
        <v>1017</v>
      </c>
      <c r="B18" s="16" t="s">
        <v>117</v>
      </c>
      <c r="C18" s="17">
        <v>66</v>
      </c>
      <c r="D18" s="17">
        <v>59</v>
      </c>
      <c r="E18" s="17">
        <v>40</v>
      </c>
      <c r="F18" s="15">
        <v>45981</v>
      </c>
      <c r="G18" s="20">
        <f t="shared" si="0"/>
        <v>165</v>
      </c>
      <c r="H18" s="21">
        <f t="shared" si="1"/>
        <v>55</v>
      </c>
      <c r="I18" s="22" t="str">
        <f t="shared" si="2"/>
        <v>D</v>
      </c>
      <c r="J18" s="22" t="str">
        <f t="shared" si="3"/>
        <v>No</v>
      </c>
      <c r="K18" s="22" t="str">
        <f t="shared" si="4"/>
        <v>Student</v>
      </c>
      <c r="L18" s="22" t="str">
        <f t="shared" si="5"/>
        <v>STUDENT 17</v>
      </c>
      <c r="M18" s="22" t="str">
        <f t="shared" si="6"/>
        <v>student 17</v>
      </c>
      <c r="N18" s="22">
        <f t="shared" si="7"/>
        <v>0</v>
      </c>
      <c r="O18" s="22">
        <f t="shared" si="8"/>
        <v>330</v>
      </c>
      <c r="P18" s="21">
        <f t="shared" si="9"/>
        <v>55</v>
      </c>
      <c r="Q18" s="22">
        <f t="shared" si="10"/>
        <v>55</v>
      </c>
      <c r="R18" s="22">
        <f t="shared" si="11"/>
        <v>55</v>
      </c>
      <c r="S18" s="22">
        <f t="shared" si="12"/>
        <v>20</v>
      </c>
    </row>
    <row r="19" spans="1:19" ht="16.5" customHeight="1" x14ac:dyDescent="0.35">
      <c r="A19" s="17">
        <v>1018</v>
      </c>
      <c r="B19" s="16" t="s">
        <v>118</v>
      </c>
      <c r="C19" s="17">
        <v>82</v>
      </c>
      <c r="D19" s="17">
        <v>48</v>
      </c>
      <c r="E19" s="17">
        <v>79</v>
      </c>
      <c r="F19" s="15">
        <v>46161</v>
      </c>
      <c r="G19" s="20">
        <f t="shared" si="0"/>
        <v>209</v>
      </c>
      <c r="H19" s="21">
        <f t="shared" si="1"/>
        <v>69.666666666666671</v>
      </c>
      <c r="I19" s="22" t="str">
        <f t="shared" si="2"/>
        <v>B</v>
      </c>
      <c r="J19" s="22" t="str">
        <f t="shared" si="3"/>
        <v>No</v>
      </c>
      <c r="K19" s="22" t="str">
        <f t="shared" si="4"/>
        <v>Student</v>
      </c>
      <c r="L19" s="22" t="str">
        <f t="shared" si="5"/>
        <v>STUDENT 18</v>
      </c>
      <c r="M19" s="22" t="str">
        <f t="shared" si="6"/>
        <v>student 18</v>
      </c>
      <c r="N19" s="22">
        <f t="shared" si="7"/>
        <v>0</v>
      </c>
      <c r="O19" s="22">
        <f t="shared" si="8"/>
        <v>150</v>
      </c>
      <c r="P19" s="21">
        <f t="shared" si="9"/>
        <v>70</v>
      </c>
      <c r="Q19" s="22">
        <f t="shared" si="10"/>
        <v>70</v>
      </c>
      <c r="R19" s="22">
        <f t="shared" si="11"/>
        <v>65</v>
      </c>
      <c r="S19" s="22">
        <f t="shared" si="12"/>
        <v>11</v>
      </c>
    </row>
    <row r="20" spans="1:19" ht="16.5" customHeight="1" x14ac:dyDescent="0.35">
      <c r="A20" s="17">
        <v>1019</v>
      </c>
      <c r="B20" s="16" t="s">
        <v>119</v>
      </c>
      <c r="C20" s="17">
        <v>90</v>
      </c>
      <c r="D20" s="17">
        <v>78</v>
      </c>
      <c r="E20" s="17">
        <v>60</v>
      </c>
      <c r="F20" s="15">
        <v>46341</v>
      </c>
      <c r="G20" s="20">
        <f t="shared" si="0"/>
        <v>228</v>
      </c>
      <c r="H20" s="21">
        <f t="shared" si="1"/>
        <v>76</v>
      </c>
      <c r="I20" s="22" t="str">
        <f t="shared" si="2"/>
        <v>A</v>
      </c>
      <c r="J20" s="22" t="str">
        <f t="shared" si="3"/>
        <v>No</v>
      </c>
      <c r="K20" s="22" t="str">
        <f t="shared" si="4"/>
        <v>Student</v>
      </c>
      <c r="L20" s="22" t="str">
        <f t="shared" si="5"/>
        <v>STUDENT 19</v>
      </c>
      <c r="M20" s="22" t="str">
        <f t="shared" si="6"/>
        <v>student 19</v>
      </c>
      <c r="N20" s="22" t="str">
        <f t="shared" si="7"/>
        <v>Not Found</v>
      </c>
      <c r="O20" s="22" t="str">
        <f t="shared" si="8"/>
        <v>Not Found</v>
      </c>
      <c r="P20" s="21">
        <f t="shared" si="9"/>
        <v>76</v>
      </c>
      <c r="Q20" s="22">
        <f t="shared" si="10"/>
        <v>80</v>
      </c>
      <c r="R20" s="22">
        <f t="shared" si="11"/>
        <v>75</v>
      </c>
      <c r="S20" s="22">
        <f t="shared" si="12"/>
        <v>5</v>
      </c>
    </row>
    <row r="21" spans="1:19" ht="17.5" customHeight="1" x14ac:dyDescent="0.35">
      <c r="A21" s="17">
        <v>1020</v>
      </c>
      <c r="B21" s="16" t="s">
        <v>120</v>
      </c>
      <c r="C21" s="17">
        <v>83</v>
      </c>
      <c r="D21" s="17">
        <v>92</v>
      </c>
      <c r="E21" s="17">
        <v>55</v>
      </c>
      <c r="F21" s="15">
        <v>46521</v>
      </c>
      <c r="G21" s="20">
        <f t="shared" si="0"/>
        <v>230</v>
      </c>
      <c r="H21" s="21">
        <f t="shared" si="1"/>
        <v>76.666666666666671</v>
      </c>
      <c r="I21" s="22" t="str">
        <f t="shared" si="2"/>
        <v>A</v>
      </c>
      <c r="J21" s="22" t="str">
        <f t="shared" si="3"/>
        <v>Yes</v>
      </c>
      <c r="K21" s="22" t="str">
        <f>LEFT(B21,FIND(" ",B21)-1)</f>
        <v>Student</v>
      </c>
      <c r="L21" s="22" t="str">
        <f t="shared" si="5"/>
        <v>STUDENT 20</v>
      </c>
      <c r="M21" s="22" t="str">
        <f t="shared" si="6"/>
        <v>student 20</v>
      </c>
      <c r="N21" s="22" t="str">
        <f t="shared" si="7"/>
        <v>Not Found</v>
      </c>
      <c r="O21" s="22" t="str">
        <f t="shared" si="8"/>
        <v>Not Found</v>
      </c>
      <c r="P21" s="21">
        <f t="shared" si="9"/>
        <v>77</v>
      </c>
      <c r="Q21" s="22">
        <f t="shared" si="10"/>
        <v>80</v>
      </c>
      <c r="R21" s="22">
        <f t="shared" si="11"/>
        <v>75</v>
      </c>
      <c r="S21" s="22">
        <f t="shared" si="12"/>
        <v>4</v>
      </c>
    </row>
    <row r="22" spans="1:19" x14ac:dyDescent="0.35">
      <c r="P22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zoomScale="91" workbookViewId="0">
      <selection activeCell="C14" sqref="C14"/>
    </sheetView>
  </sheetViews>
  <sheetFormatPr defaultRowHeight="14.5" x14ac:dyDescent="0.35"/>
  <cols>
    <col min="1" max="1" width="10.7265625" customWidth="1"/>
    <col min="2" max="2" width="9.81640625" customWidth="1"/>
    <col min="3" max="3" width="12.26953125" customWidth="1"/>
    <col min="4" max="4" width="12.7265625" customWidth="1"/>
    <col min="5" max="5" width="9.453125" customWidth="1"/>
    <col min="6" max="6" width="11.81640625" customWidth="1"/>
    <col min="8" max="8" width="12.453125" customWidth="1"/>
    <col min="9" max="9" width="12.54296875" customWidth="1"/>
    <col min="10" max="10" width="12.90625" customWidth="1"/>
    <col min="11" max="11" width="10.90625" customWidth="1"/>
    <col min="12" max="12" width="14.1796875" customWidth="1"/>
    <col min="13" max="13" width="11.26953125" customWidth="1"/>
    <col min="14" max="14" width="11" customWidth="1"/>
    <col min="15" max="15" width="12.36328125" style="19" customWidth="1"/>
    <col min="16" max="16" width="12.54296875" customWidth="1"/>
  </cols>
  <sheetData>
    <row r="1" spans="1:16" ht="47" customHeight="1" x14ac:dyDescent="0.35">
      <c r="A1" s="7" t="s">
        <v>39</v>
      </c>
      <c r="B1" s="7" t="s">
        <v>40</v>
      </c>
      <c r="C1" s="7" t="s">
        <v>41</v>
      </c>
      <c r="D1" s="7" t="s">
        <v>42</v>
      </c>
      <c r="E1" s="7" t="s">
        <v>43</v>
      </c>
      <c r="F1" s="7" t="s">
        <v>44</v>
      </c>
      <c r="G1" s="8" t="s">
        <v>45</v>
      </c>
      <c r="H1" s="8" t="s">
        <v>46</v>
      </c>
      <c r="I1" s="8" t="s">
        <v>47</v>
      </c>
      <c r="J1" s="8" t="s">
        <v>48</v>
      </c>
      <c r="K1" s="8" t="s">
        <v>49</v>
      </c>
      <c r="L1" s="8" t="s">
        <v>50</v>
      </c>
      <c r="M1" s="8" t="s">
        <v>51</v>
      </c>
      <c r="N1" s="8" t="s">
        <v>52</v>
      </c>
      <c r="O1" s="18" t="s">
        <v>53</v>
      </c>
      <c r="P1" s="8" t="s">
        <v>54</v>
      </c>
    </row>
    <row r="2" spans="1:16" x14ac:dyDescent="0.35">
      <c r="A2" s="11">
        <v>2001</v>
      </c>
      <c r="B2" s="10" t="s">
        <v>55</v>
      </c>
      <c r="C2" s="10" t="s">
        <v>56</v>
      </c>
      <c r="D2" s="10" t="s">
        <v>57</v>
      </c>
      <c r="E2" s="12">
        <v>7048</v>
      </c>
      <c r="F2" s="9">
        <v>44927</v>
      </c>
      <c r="G2" s="22" t="str">
        <f>TEXT(F2,"mmm")</f>
        <v>Jan</v>
      </c>
      <c r="H2" s="22" t="str">
        <f>IF(E2&gt;=30000,"15%",IF(E2&gt;=15000,"10%",IF(E2&gt;=10000,"5%",IF(E2&lt;10000,"2%",0))))</f>
        <v>2%</v>
      </c>
      <c r="I2" s="22">
        <f>E2*H2</f>
        <v>140.96</v>
      </c>
      <c r="J2" s="23">
        <f>E2-I2</f>
        <v>6907.04</v>
      </c>
      <c r="K2" s="22" t="str">
        <f>IF(OR(B2="Keyboard",E2&gt;=35000),"Yes","No")</f>
        <v>Yes</v>
      </c>
      <c r="L2" s="23">
        <f>ROUND(J2,-2)</f>
        <v>6900</v>
      </c>
      <c r="M2" s="22">
        <f>CEILING(J2,1000)</f>
        <v>7000</v>
      </c>
      <c r="N2" s="22">
        <f>FLOOR(J2,1000)</f>
        <v>6000</v>
      </c>
      <c r="O2" s="21" t="str">
        <f ca="1">IFERROR(AVERAGE(OFFSET(E2,-2,0,3,1)),"Not Working")</f>
        <v>Not Working</v>
      </c>
      <c r="P2" s="22" t="s">
        <v>121</v>
      </c>
    </row>
    <row r="3" spans="1:16" x14ac:dyDescent="0.35">
      <c r="A3" s="11">
        <v>2002</v>
      </c>
      <c r="B3" s="10" t="s">
        <v>58</v>
      </c>
      <c r="C3" s="10" t="s">
        <v>59</v>
      </c>
      <c r="D3" s="10" t="s">
        <v>60</v>
      </c>
      <c r="E3" s="12">
        <v>17428</v>
      </c>
      <c r="F3" s="9">
        <v>44942</v>
      </c>
      <c r="G3" s="22" t="str">
        <f t="shared" ref="G3:G21" si="0">TEXT(F3,"mmm")</f>
        <v>Jan</v>
      </c>
      <c r="H3" s="22" t="str">
        <f t="shared" ref="H3:H21" si="1">IF(E3&gt;=30000,"15%",IF(E3&gt;=15000,"10%",IF(E3&gt;=10000,"5%",IF(E3&lt;10000,"2%",0))))</f>
        <v>10%</v>
      </c>
      <c r="I3" s="22">
        <f t="shared" ref="I3:I21" si="2">E3*H3</f>
        <v>1742.8000000000002</v>
      </c>
      <c r="J3" s="23">
        <f t="shared" ref="J3:J21" si="3">E3-I3</f>
        <v>15685.2</v>
      </c>
      <c r="K3" s="22" t="str">
        <f t="shared" ref="K3:K21" si="4">IF(OR(B3="Keyboard",E3&gt;=35000),"Yes","No")</f>
        <v>No</v>
      </c>
      <c r="L3" s="23">
        <f t="shared" ref="L3:L21" si="5">ROUND(J3,-2)</f>
        <v>15700</v>
      </c>
      <c r="M3" s="22">
        <f t="shared" ref="M3:M21" si="6">CEILING(J3,1000)</f>
        <v>16000</v>
      </c>
      <c r="N3" s="22">
        <f t="shared" ref="N3:N21" si="7">FLOOR(J3,1000)</f>
        <v>15000</v>
      </c>
      <c r="O3" s="21">
        <f t="shared" ref="O3:O21" ca="1" si="8">IFERROR(AVERAGE(OFFSET(E3,-2,0,3,1)),"Not Working")</f>
        <v>12238</v>
      </c>
      <c r="P3" s="22">
        <f>F3-F2</f>
        <v>15</v>
      </c>
    </row>
    <row r="4" spans="1:16" x14ac:dyDescent="0.35">
      <c r="A4" s="11">
        <v>2003</v>
      </c>
      <c r="B4" s="10" t="s">
        <v>61</v>
      </c>
      <c r="C4" s="10" t="s">
        <v>56</v>
      </c>
      <c r="D4" s="10" t="s">
        <v>62</v>
      </c>
      <c r="E4" s="12">
        <v>23672</v>
      </c>
      <c r="F4" s="9">
        <v>44957</v>
      </c>
      <c r="G4" s="22" t="str">
        <f t="shared" si="0"/>
        <v>Jan</v>
      </c>
      <c r="H4" s="22" t="str">
        <f t="shared" si="1"/>
        <v>10%</v>
      </c>
      <c r="I4" s="22">
        <f t="shared" si="2"/>
        <v>2367.2000000000003</v>
      </c>
      <c r="J4" s="23">
        <f t="shared" si="3"/>
        <v>21304.799999999999</v>
      </c>
      <c r="K4" s="22" t="str">
        <f t="shared" si="4"/>
        <v>No</v>
      </c>
      <c r="L4" s="23">
        <f t="shared" si="5"/>
        <v>21300</v>
      </c>
      <c r="M4" s="22">
        <f t="shared" si="6"/>
        <v>22000</v>
      </c>
      <c r="N4" s="22">
        <f t="shared" si="7"/>
        <v>21000</v>
      </c>
      <c r="O4" s="21">
        <f t="shared" ca="1" si="8"/>
        <v>16049.333333333334</v>
      </c>
      <c r="P4" s="22">
        <f t="shared" ref="P4:P21" si="9">F4-F3</f>
        <v>15</v>
      </c>
    </row>
    <row r="5" spans="1:16" x14ac:dyDescent="0.35">
      <c r="A5" s="11">
        <v>2004</v>
      </c>
      <c r="B5" s="10" t="s">
        <v>58</v>
      </c>
      <c r="C5" s="10" t="s">
        <v>63</v>
      </c>
      <c r="D5" s="10" t="s">
        <v>64</v>
      </c>
      <c r="E5" s="12">
        <v>5264</v>
      </c>
      <c r="F5" s="9">
        <v>44972</v>
      </c>
      <c r="G5" s="22" t="str">
        <f t="shared" si="0"/>
        <v>Feb</v>
      </c>
      <c r="H5" s="22" t="str">
        <f t="shared" si="1"/>
        <v>2%</v>
      </c>
      <c r="I5" s="22">
        <f t="shared" si="2"/>
        <v>105.28</v>
      </c>
      <c r="J5" s="23">
        <f t="shared" si="3"/>
        <v>5158.72</v>
      </c>
      <c r="K5" s="22" t="str">
        <f t="shared" si="4"/>
        <v>No</v>
      </c>
      <c r="L5" s="23">
        <f t="shared" si="5"/>
        <v>5200</v>
      </c>
      <c r="M5" s="22">
        <f t="shared" si="6"/>
        <v>6000</v>
      </c>
      <c r="N5" s="22">
        <f t="shared" si="7"/>
        <v>5000</v>
      </c>
      <c r="O5" s="21">
        <f t="shared" ca="1" si="8"/>
        <v>15454.666666666666</v>
      </c>
      <c r="P5" s="22">
        <f t="shared" si="9"/>
        <v>15</v>
      </c>
    </row>
    <row r="6" spans="1:16" x14ac:dyDescent="0.35">
      <c r="A6" s="11">
        <v>2005</v>
      </c>
      <c r="B6" s="10" t="s">
        <v>55</v>
      </c>
      <c r="C6" s="10" t="s">
        <v>65</v>
      </c>
      <c r="D6" s="10" t="s">
        <v>66</v>
      </c>
      <c r="E6" s="12">
        <v>43388</v>
      </c>
      <c r="F6" s="9">
        <v>44987</v>
      </c>
      <c r="G6" s="22" t="str">
        <f t="shared" si="0"/>
        <v>Mar</v>
      </c>
      <c r="H6" s="22" t="str">
        <f t="shared" si="1"/>
        <v>15%</v>
      </c>
      <c r="I6" s="22">
        <f t="shared" si="2"/>
        <v>6508.2</v>
      </c>
      <c r="J6" s="23">
        <f t="shared" si="3"/>
        <v>36879.800000000003</v>
      </c>
      <c r="K6" s="22" t="str">
        <f t="shared" si="4"/>
        <v>Yes</v>
      </c>
      <c r="L6" s="23">
        <f t="shared" si="5"/>
        <v>36900</v>
      </c>
      <c r="M6" s="22">
        <f t="shared" si="6"/>
        <v>37000</v>
      </c>
      <c r="N6" s="22">
        <f t="shared" si="7"/>
        <v>36000</v>
      </c>
      <c r="O6" s="21">
        <f t="shared" ca="1" si="8"/>
        <v>24108</v>
      </c>
      <c r="P6" s="22">
        <f t="shared" si="9"/>
        <v>15</v>
      </c>
    </row>
    <row r="7" spans="1:16" x14ac:dyDescent="0.35">
      <c r="A7" s="11">
        <v>2006</v>
      </c>
      <c r="B7" s="10" t="s">
        <v>61</v>
      </c>
      <c r="C7" s="10" t="s">
        <v>65</v>
      </c>
      <c r="D7" s="10" t="s">
        <v>67</v>
      </c>
      <c r="E7" s="12">
        <v>19757</v>
      </c>
      <c r="F7" s="9">
        <v>45002</v>
      </c>
      <c r="G7" s="22" t="str">
        <f t="shared" si="0"/>
        <v>Mar</v>
      </c>
      <c r="H7" s="22" t="str">
        <f t="shared" si="1"/>
        <v>10%</v>
      </c>
      <c r="I7" s="22">
        <f t="shared" si="2"/>
        <v>1975.7</v>
      </c>
      <c r="J7" s="23">
        <f t="shared" si="3"/>
        <v>17781.3</v>
      </c>
      <c r="K7" s="22" t="str">
        <f t="shared" si="4"/>
        <v>No</v>
      </c>
      <c r="L7" s="23">
        <f t="shared" si="5"/>
        <v>17800</v>
      </c>
      <c r="M7" s="22">
        <f t="shared" si="6"/>
        <v>18000</v>
      </c>
      <c r="N7" s="22">
        <f t="shared" si="7"/>
        <v>17000</v>
      </c>
      <c r="O7" s="21">
        <f t="shared" ca="1" si="8"/>
        <v>22803</v>
      </c>
      <c r="P7" s="22">
        <f t="shared" si="9"/>
        <v>15</v>
      </c>
    </row>
    <row r="8" spans="1:16" x14ac:dyDescent="0.35">
      <c r="A8" s="11">
        <v>2007</v>
      </c>
      <c r="B8" s="10" t="s">
        <v>61</v>
      </c>
      <c r="C8" s="10" t="s">
        <v>63</v>
      </c>
      <c r="D8" s="10" t="s">
        <v>68</v>
      </c>
      <c r="E8" s="12">
        <v>32058</v>
      </c>
      <c r="F8" s="9">
        <v>45017</v>
      </c>
      <c r="G8" s="22" t="str">
        <f t="shared" si="0"/>
        <v>Apr</v>
      </c>
      <c r="H8" s="22" t="str">
        <f t="shared" si="1"/>
        <v>15%</v>
      </c>
      <c r="I8" s="22">
        <f t="shared" si="2"/>
        <v>4808.7</v>
      </c>
      <c r="J8" s="23">
        <f t="shared" si="3"/>
        <v>27249.3</v>
      </c>
      <c r="K8" s="22" t="str">
        <f t="shared" si="4"/>
        <v>No</v>
      </c>
      <c r="L8" s="23">
        <f t="shared" si="5"/>
        <v>27200</v>
      </c>
      <c r="M8" s="22">
        <f t="shared" si="6"/>
        <v>28000</v>
      </c>
      <c r="N8" s="22">
        <f t="shared" si="7"/>
        <v>27000</v>
      </c>
      <c r="O8" s="21">
        <f t="shared" ca="1" si="8"/>
        <v>31734.333333333332</v>
      </c>
      <c r="P8" s="22">
        <f t="shared" si="9"/>
        <v>15</v>
      </c>
    </row>
    <row r="9" spans="1:16" x14ac:dyDescent="0.35">
      <c r="A9" s="11">
        <v>2008</v>
      </c>
      <c r="B9" s="10" t="s">
        <v>55</v>
      </c>
      <c r="C9" s="10" t="s">
        <v>63</v>
      </c>
      <c r="D9" s="10" t="s">
        <v>69</v>
      </c>
      <c r="E9" s="12">
        <v>46429</v>
      </c>
      <c r="F9" s="9">
        <v>45032</v>
      </c>
      <c r="G9" s="22" t="str">
        <f t="shared" si="0"/>
        <v>Apr</v>
      </c>
      <c r="H9" s="22" t="str">
        <f t="shared" si="1"/>
        <v>15%</v>
      </c>
      <c r="I9" s="22">
        <f t="shared" si="2"/>
        <v>6964.3499999999995</v>
      </c>
      <c r="J9" s="23">
        <f t="shared" si="3"/>
        <v>39464.65</v>
      </c>
      <c r="K9" s="22" t="str">
        <f t="shared" si="4"/>
        <v>Yes</v>
      </c>
      <c r="L9" s="23">
        <f t="shared" si="5"/>
        <v>39500</v>
      </c>
      <c r="M9" s="22">
        <f t="shared" si="6"/>
        <v>40000</v>
      </c>
      <c r="N9" s="22">
        <f t="shared" si="7"/>
        <v>39000</v>
      </c>
      <c r="O9" s="21">
        <f t="shared" ca="1" si="8"/>
        <v>32748</v>
      </c>
      <c r="P9" s="22">
        <f t="shared" si="9"/>
        <v>15</v>
      </c>
    </row>
    <row r="10" spans="1:16" x14ac:dyDescent="0.35">
      <c r="A10" s="11">
        <v>2009</v>
      </c>
      <c r="B10" s="10" t="s">
        <v>58</v>
      </c>
      <c r="C10" s="10" t="s">
        <v>63</v>
      </c>
      <c r="D10" s="10" t="s">
        <v>70</v>
      </c>
      <c r="E10" s="12">
        <v>19746</v>
      </c>
      <c r="F10" s="9">
        <v>45047</v>
      </c>
      <c r="G10" s="22" t="str">
        <f t="shared" si="0"/>
        <v>May</v>
      </c>
      <c r="H10" s="22" t="str">
        <f t="shared" si="1"/>
        <v>10%</v>
      </c>
      <c r="I10" s="22">
        <f t="shared" si="2"/>
        <v>1974.6000000000001</v>
      </c>
      <c r="J10" s="23">
        <f t="shared" si="3"/>
        <v>17771.400000000001</v>
      </c>
      <c r="K10" s="22" t="str">
        <f t="shared" si="4"/>
        <v>No</v>
      </c>
      <c r="L10" s="23">
        <f t="shared" si="5"/>
        <v>17800</v>
      </c>
      <c r="M10" s="22">
        <f t="shared" si="6"/>
        <v>18000</v>
      </c>
      <c r="N10" s="22">
        <f t="shared" si="7"/>
        <v>17000</v>
      </c>
      <c r="O10" s="21">
        <f t="shared" ca="1" si="8"/>
        <v>32744.333333333332</v>
      </c>
      <c r="P10" s="22">
        <f t="shared" si="9"/>
        <v>15</v>
      </c>
    </row>
    <row r="11" spans="1:16" x14ac:dyDescent="0.35">
      <c r="A11" s="11">
        <v>2010</v>
      </c>
      <c r="B11" s="10" t="s">
        <v>55</v>
      </c>
      <c r="C11" s="10" t="s">
        <v>56</v>
      </c>
      <c r="D11" s="10" t="s">
        <v>71</v>
      </c>
      <c r="E11" s="12">
        <v>35185</v>
      </c>
      <c r="F11" s="9">
        <v>45062</v>
      </c>
      <c r="G11" s="22" t="str">
        <f t="shared" si="0"/>
        <v>May</v>
      </c>
      <c r="H11" s="22" t="str">
        <f t="shared" si="1"/>
        <v>15%</v>
      </c>
      <c r="I11" s="22">
        <f t="shared" si="2"/>
        <v>5277.75</v>
      </c>
      <c r="J11" s="23">
        <f t="shared" si="3"/>
        <v>29907.25</v>
      </c>
      <c r="K11" s="22" t="str">
        <f t="shared" si="4"/>
        <v>Yes</v>
      </c>
      <c r="L11" s="23">
        <f t="shared" si="5"/>
        <v>29900</v>
      </c>
      <c r="M11" s="22">
        <f t="shared" si="6"/>
        <v>30000</v>
      </c>
      <c r="N11" s="22">
        <f t="shared" si="7"/>
        <v>29000</v>
      </c>
      <c r="O11" s="21">
        <f t="shared" ca="1" si="8"/>
        <v>33786.666666666664</v>
      </c>
      <c r="P11" s="22">
        <f t="shared" si="9"/>
        <v>15</v>
      </c>
    </row>
    <row r="12" spans="1:16" x14ac:dyDescent="0.35">
      <c r="A12" s="11">
        <v>2011</v>
      </c>
      <c r="B12" s="10" t="s">
        <v>55</v>
      </c>
      <c r="C12" s="10" t="s">
        <v>63</v>
      </c>
      <c r="D12" s="10" t="s">
        <v>72</v>
      </c>
      <c r="E12" s="12">
        <v>33920</v>
      </c>
      <c r="F12" s="9">
        <v>45077</v>
      </c>
      <c r="G12" s="22" t="str">
        <f t="shared" si="0"/>
        <v>May</v>
      </c>
      <c r="H12" s="22" t="str">
        <f t="shared" si="1"/>
        <v>15%</v>
      </c>
      <c r="I12" s="22">
        <f t="shared" si="2"/>
        <v>5088</v>
      </c>
      <c r="J12" s="23">
        <f t="shared" si="3"/>
        <v>28832</v>
      </c>
      <c r="K12" s="22" t="str">
        <f t="shared" si="4"/>
        <v>Yes</v>
      </c>
      <c r="L12" s="23">
        <f t="shared" si="5"/>
        <v>28800</v>
      </c>
      <c r="M12" s="22">
        <f t="shared" si="6"/>
        <v>29000</v>
      </c>
      <c r="N12" s="22">
        <f t="shared" si="7"/>
        <v>28000</v>
      </c>
      <c r="O12" s="21">
        <f t="shared" ca="1" si="8"/>
        <v>29617</v>
      </c>
      <c r="P12" s="22">
        <f t="shared" si="9"/>
        <v>15</v>
      </c>
    </row>
    <row r="13" spans="1:16" x14ac:dyDescent="0.35">
      <c r="A13" s="11">
        <v>2012</v>
      </c>
      <c r="B13" s="10" t="s">
        <v>73</v>
      </c>
      <c r="C13" s="10" t="s">
        <v>65</v>
      </c>
      <c r="D13" s="10" t="s">
        <v>74</v>
      </c>
      <c r="E13" s="12">
        <v>35611</v>
      </c>
      <c r="F13" s="9">
        <v>45092</v>
      </c>
      <c r="G13" s="22" t="str">
        <f t="shared" si="0"/>
        <v>Jun</v>
      </c>
      <c r="H13" s="22" t="str">
        <f t="shared" si="1"/>
        <v>15%</v>
      </c>
      <c r="I13" s="22">
        <f t="shared" si="2"/>
        <v>5341.65</v>
      </c>
      <c r="J13" s="23">
        <f t="shared" si="3"/>
        <v>30269.35</v>
      </c>
      <c r="K13" s="22" t="str">
        <f t="shared" si="4"/>
        <v>Yes</v>
      </c>
      <c r="L13" s="23">
        <f t="shared" si="5"/>
        <v>30300</v>
      </c>
      <c r="M13" s="22">
        <f t="shared" si="6"/>
        <v>31000</v>
      </c>
      <c r="N13" s="22">
        <f t="shared" si="7"/>
        <v>30000</v>
      </c>
      <c r="O13" s="21">
        <f t="shared" ca="1" si="8"/>
        <v>34905.333333333336</v>
      </c>
      <c r="P13" s="22">
        <f t="shared" si="9"/>
        <v>15</v>
      </c>
    </row>
    <row r="14" spans="1:16" x14ac:dyDescent="0.35">
      <c r="A14" s="11">
        <v>2013</v>
      </c>
      <c r="B14" s="10" t="s">
        <v>75</v>
      </c>
      <c r="C14" s="10" t="s">
        <v>63</v>
      </c>
      <c r="D14" s="10" t="s">
        <v>76</v>
      </c>
      <c r="E14" s="12">
        <v>15560</v>
      </c>
      <c r="F14" s="9">
        <v>45107</v>
      </c>
      <c r="G14" s="22" t="str">
        <f t="shared" si="0"/>
        <v>Jun</v>
      </c>
      <c r="H14" s="22" t="str">
        <f t="shared" si="1"/>
        <v>10%</v>
      </c>
      <c r="I14" s="22">
        <f t="shared" si="2"/>
        <v>1556</v>
      </c>
      <c r="J14" s="23">
        <f t="shared" si="3"/>
        <v>14004</v>
      </c>
      <c r="K14" s="22" t="str">
        <f t="shared" si="4"/>
        <v>No</v>
      </c>
      <c r="L14" s="23">
        <f t="shared" si="5"/>
        <v>14000</v>
      </c>
      <c r="M14" s="22">
        <f t="shared" si="6"/>
        <v>15000</v>
      </c>
      <c r="N14" s="22">
        <f t="shared" si="7"/>
        <v>14000</v>
      </c>
      <c r="O14" s="21">
        <f t="shared" ca="1" si="8"/>
        <v>28363.666666666668</v>
      </c>
      <c r="P14" s="22">
        <f t="shared" si="9"/>
        <v>15</v>
      </c>
    </row>
    <row r="15" spans="1:16" x14ac:dyDescent="0.35">
      <c r="A15" s="11">
        <v>2014</v>
      </c>
      <c r="B15" s="10" t="s">
        <v>75</v>
      </c>
      <c r="C15" s="10" t="s">
        <v>56</v>
      </c>
      <c r="D15" s="10" t="s">
        <v>77</v>
      </c>
      <c r="E15" s="12">
        <v>7283</v>
      </c>
      <c r="F15" s="9">
        <v>45122</v>
      </c>
      <c r="G15" s="22" t="str">
        <f t="shared" si="0"/>
        <v>Jul</v>
      </c>
      <c r="H15" s="22" t="str">
        <f t="shared" si="1"/>
        <v>2%</v>
      </c>
      <c r="I15" s="22">
        <f t="shared" si="2"/>
        <v>145.66</v>
      </c>
      <c r="J15" s="23">
        <f t="shared" si="3"/>
        <v>7137.34</v>
      </c>
      <c r="K15" s="22" t="str">
        <f t="shared" si="4"/>
        <v>No</v>
      </c>
      <c r="L15" s="23">
        <f t="shared" si="5"/>
        <v>7100</v>
      </c>
      <c r="M15" s="22">
        <f t="shared" si="6"/>
        <v>8000</v>
      </c>
      <c r="N15" s="22">
        <f t="shared" si="7"/>
        <v>7000</v>
      </c>
      <c r="O15" s="21">
        <f t="shared" ca="1" si="8"/>
        <v>19484.666666666668</v>
      </c>
      <c r="P15" s="22">
        <f t="shared" si="9"/>
        <v>15</v>
      </c>
    </row>
    <row r="16" spans="1:16" x14ac:dyDescent="0.35">
      <c r="A16" s="11">
        <v>2015</v>
      </c>
      <c r="B16" s="10" t="s">
        <v>75</v>
      </c>
      <c r="C16" s="10" t="s">
        <v>63</v>
      </c>
      <c r="D16" s="10" t="s">
        <v>78</v>
      </c>
      <c r="E16" s="12">
        <v>15678</v>
      </c>
      <c r="F16" s="9">
        <v>45137</v>
      </c>
      <c r="G16" s="22" t="str">
        <f t="shared" si="0"/>
        <v>Jul</v>
      </c>
      <c r="H16" s="22" t="str">
        <f t="shared" si="1"/>
        <v>10%</v>
      </c>
      <c r="I16" s="22">
        <f t="shared" si="2"/>
        <v>1567.8000000000002</v>
      </c>
      <c r="J16" s="23">
        <f t="shared" si="3"/>
        <v>14110.2</v>
      </c>
      <c r="K16" s="22" t="str">
        <f t="shared" si="4"/>
        <v>No</v>
      </c>
      <c r="L16" s="23">
        <f t="shared" si="5"/>
        <v>14100</v>
      </c>
      <c r="M16" s="22">
        <f t="shared" si="6"/>
        <v>15000</v>
      </c>
      <c r="N16" s="22">
        <f t="shared" si="7"/>
        <v>14000</v>
      </c>
      <c r="O16" s="21">
        <f t="shared" ca="1" si="8"/>
        <v>12840.333333333334</v>
      </c>
      <c r="P16" s="22">
        <f t="shared" si="9"/>
        <v>15</v>
      </c>
    </row>
    <row r="17" spans="1:16" x14ac:dyDescent="0.35">
      <c r="A17" s="11">
        <v>2016</v>
      </c>
      <c r="B17" s="10" t="s">
        <v>61</v>
      </c>
      <c r="C17" s="10" t="s">
        <v>63</v>
      </c>
      <c r="D17" s="10" t="s">
        <v>79</v>
      </c>
      <c r="E17" s="12">
        <v>5277</v>
      </c>
      <c r="F17" s="9">
        <v>45152</v>
      </c>
      <c r="G17" s="22" t="str">
        <f t="shared" si="0"/>
        <v>Aug</v>
      </c>
      <c r="H17" s="22" t="str">
        <f t="shared" si="1"/>
        <v>2%</v>
      </c>
      <c r="I17" s="22">
        <f t="shared" si="2"/>
        <v>105.54</v>
      </c>
      <c r="J17" s="23">
        <f t="shared" si="3"/>
        <v>5171.46</v>
      </c>
      <c r="K17" s="22" t="str">
        <f t="shared" si="4"/>
        <v>No</v>
      </c>
      <c r="L17" s="23">
        <f t="shared" si="5"/>
        <v>5200</v>
      </c>
      <c r="M17" s="22">
        <f t="shared" si="6"/>
        <v>6000</v>
      </c>
      <c r="N17" s="22">
        <f t="shared" si="7"/>
        <v>5000</v>
      </c>
      <c r="O17" s="21">
        <f t="shared" ca="1" si="8"/>
        <v>9412.6666666666661</v>
      </c>
      <c r="P17" s="22">
        <f t="shared" si="9"/>
        <v>15</v>
      </c>
    </row>
    <row r="18" spans="1:16" x14ac:dyDescent="0.35">
      <c r="A18" s="11">
        <v>2017</v>
      </c>
      <c r="B18" s="10" t="s">
        <v>73</v>
      </c>
      <c r="C18" s="10" t="s">
        <v>65</v>
      </c>
      <c r="D18" s="10" t="s">
        <v>80</v>
      </c>
      <c r="E18" s="12">
        <v>41871</v>
      </c>
      <c r="F18" s="9">
        <v>45167</v>
      </c>
      <c r="G18" s="22" t="str">
        <f t="shared" si="0"/>
        <v>Aug</v>
      </c>
      <c r="H18" s="22" t="str">
        <f t="shared" si="1"/>
        <v>15%</v>
      </c>
      <c r="I18" s="22">
        <f t="shared" si="2"/>
        <v>6280.65</v>
      </c>
      <c r="J18" s="23">
        <f t="shared" si="3"/>
        <v>35590.35</v>
      </c>
      <c r="K18" s="22" t="str">
        <f t="shared" si="4"/>
        <v>Yes</v>
      </c>
      <c r="L18" s="23">
        <f t="shared" si="5"/>
        <v>35600</v>
      </c>
      <c r="M18" s="22">
        <f t="shared" si="6"/>
        <v>36000</v>
      </c>
      <c r="N18" s="22">
        <f t="shared" si="7"/>
        <v>35000</v>
      </c>
      <c r="O18" s="21">
        <f t="shared" ca="1" si="8"/>
        <v>20942</v>
      </c>
      <c r="P18" s="22">
        <f t="shared" si="9"/>
        <v>15</v>
      </c>
    </row>
    <row r="19" spans="1:16" x14ac:dyDescent="0.35">
      <c r="A19" s="11">
        <v>2018</v>
      </c>
      <c r="B19" s="10" t="s">
        <v>73</v>
      </c>
      <c r="C19" s="10" t="s">
        <v>59</v>
      </c>
      <c r="D19" s="10" t="s">
        <v>81</v>
      </c>
      <c r="E19" s="12">
        <v>38161</v>
      </c>
      <c r="F19" s="9">
        <v>45182</v>
      </c>
      <c r="G19" s="22" t="str">
        <f t="shared" si="0"/>
        <v>Sep</v>
      </c>
      <c r="H19" s="22" t="str">
        <f t="shared" si="1"/>
        <v>15%</v>
      </c>
      <c r="I19" s="22">
        <f t="shared" si="2"/>
        <v>5724.15</v>
      </c>
      <c r="J19" s="23">
        <f t="shared" si="3"/>
        <v>32436.85</v>
      </c>
      <c r="K19" s="22" t="str">
        <f t="shared" si="4"/>
        <v>Yes</v>
      </c>
      <c r="L19" s="23">
        <f t="shared" si="5"/>
        <v>32400</v>
      </c>
      <c r="M19" s="22">
        <f t="shared" si="6"/>
        <v>33000</v>
      </c>
      <c r="N19" s="22">
        <f t="shared" si="7"/>
        <v>32000</v>
      </c>
      <c r="O19" s="21">
        <f t="shared" ca="1" si="8"/>
        <v>28436.333333333332</v>
      </c>
      <c r="P19" s="22">
        <f t="shared" si="9"/>
        <v>15</v>
      </c>
    </row>
    <row r="20" spans="1:16" x14ac:dyDescent="0.35">
      <c r="A20" s="11">
        <v>2019</v>
      </c>
      <c r="B20" s="10" t="s">
        <v>61</v>
      </c>
      <c r="C20" s="10" t="s">
        <v>59</v>
      </c>
      <c r="D20" s="10" t="s">
        <v>82</v>
      </c>
      <c r="E20" s="12">
        <v>30436</v>
      </c>
      <c r="F20" s="9">
        <v>45197</v>
      </c>
      <c r="G20" s="22" t="str">
        <f t="shared" si="0"/>
        <v>Sep</v>
      </c>
      <c r="H20" s="22" t="str">
        <f t="shared" si="1"/>
        <v>15%</v>
      </c>
      <c r="I20" s="22">
        <f t="shared" si="2"/>
        <v>4565.3999999999996</v>
      </c>
      <c r="J20" s="23">
        <f t="shared" si="3"/>
        <v>25870.6</v>
      </c>
      <c r="K20" s="22" t="str">
        <f t="shared" si="4"/>
        <v>No</v>
      </c>
      <c r="L20" s="23">
        <f t="shared" si="5"/>
        <v>25900</v>
      </c>
      <c r="M20" s="22">
        <f t="shared" si="6"/>
        <v>26000</v>
      </c>
      <c r="N20" s="22">
        <f t="shared" si="7"/>
        <v>25000</v>
      </c>
      <c r="O20" s="21">
        <f t="shared" ca="1" si="8"/>
        <v>36822.666666666664</v>
      </c>
      <c r="P20" s="22">
        <f t="shared" si="9"/>
        <v>15</v>
      </c>
    </row>
    <row r="21" spans="1:16" x14ac:dyDescent="0.35">
      <c r="A21" s="11">
        <v>2020</v>
      </c>
      <c r="B21" s="10" t="s">
        <v>58</v>
      </c>
      <c r="C21" s="10" t="s">
        <v>59</v>
      </c>
      <c r="D21" s="10" t="s">
        <v>83</v>
      </c>
      <c r="E21" s="12">
        <v>33953</v>
      </c>
      <c r="F21" s="9">
        <v>45212</v>
      </c>
      <c r="G21" s="22" t="str">
        <f t="shared" si="0"/>
        <v>Oct</v>
      </c>
      <c r="H21" s="22" t="str">
        <f t="shared" si="1"/>
        <v>15%</v>
      </c>
      <c r="I21" s="22">
        <f t="shared" si="2"/>
        <v>5092.95</v>
      </c>
      <c r="J21" s="23">
        <f t="shared" si="3"/>
        <v>28860.05</v>
      </c>
      <c r="K21" s="22" t="str">
        <f t="shared" si="4"/>
        <v>No</v>
      </c>
      <c r="L21" s="23">
        <f t="shared" si="5"/>
        <v>28900</v>
      </c>
      <c r="M21" s="22">
        <f t="shared" si="6"/>
        <v>29000</v>
      </c>
      <c r="N21" s="22">
        <f t="shared" si="7"/>
        <v>28000</v>
      </c>
      <c r="O21" s="21">
        <f t="shared" ca="1" si="8"/>
        <v>34183.333333333336</v>
      </c>
      <c r="P21" s="22">
        <f t="shared" si="9"/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zoomScale="81" workbookViewId="0">
      <selection activeCell="D13" sqref="D13"/>
    </sheetView>
  </sheetViews>
  <sheetFormatPr defaultRowHeight="14.5" x14ac:dyDescent="0.35"/>
  <cols>
    <col min="1" max="1" width="13.81640625" customWidth="1"/>
    <col min="2" max="2" width="13.54296875" customWidth="1"/>
    <col min="3" max="3" width="12.26953125" customWidth="1"/>
    <col min="4" max="4" width="10.08984375" customWidth="1"/>
    <col min="5" max="5" width="14.453125" customWidth="1"/>
    <col min="6" max="6" width="9.81640625" customWidth="1"/>
    <col min="7" max="7" width="14.7265625" customWidth="1"/>
    <col min="8" max="8" width="20.453125" customWidth="1"/>
    <col min="9" max="9" width="15.453125" customWidth="1"/>
    <col min="10" max="10" width="14.54296875" customWidth="1"/>
    <col min="11" max="11" width="14.08984375" customWidth="1"/>
    <col min="12" max="12" width="13.1796875" customWidth="1"/>
    <col min="13" max="13" width="14.26953125" customWidth="1"/>
    <col min="14" max="15" width="12.90625" customWidth="1"/>
  </cols>
  <sheetData>
    <row r="1" spans="1:15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7" customHeight="1" x14ac:dyDescent="0.35">
      <c r="A2" s="5">
        <v>3001</v>
      </c>
      <c r="B2" s="4" t="s">
        <v>15</v>
      </c>
      <c r="C2" s="4" t="s">
        <v>16</v>
      </c>
      <c r="D2" s="6">
        <v>86766</v>
      </c>
      <c r="E2" s="3">
        <v>42005</v>
      </c>
      <c r="F2" s="22" t="str">
        <f>IF(E2&gt;DATE(2026,10,23),"Upcoming","Active")</f>
        <v>Active</v>
      </c>
      <c r="G2" s="22">
        <f>IF(E2&gt;DATE(2026,10,23),0,ROUND(YEARFRAC(E2,DATE(2026,10,23),1),1))</f>
        <v>11.8</v>
      </c>
      <c r="H2" s="22" t="str">
        <f>TEXT(E2,"dd mmmm yyyy")</f>
        <v>01 January 2015</v>
      </c>
      <c r="I2" s="22" t="str">
        <f>TEXT(E2,"dddd")</f>
        <v>Thursday</v>
      </c>
      <c r="J2" s="22" t="str">
        <f>IF(D2&gt;=100000,"High",IF(D2&gt;=60000,"Mid","Entry"))</f>
        <v>Mid</v>
      </c>
      <c r="K2" s="22">
        <f>D2*10%</f>
        <v>8676.6</v>
      </c>
      <c r="L2" s="22">
        <f>ROUND(K2,-2)</f>
        <v>8700</v>
      </c>
      <c r="M2" s="22" t="str">
        <f>UPPER(B2)</f>
        <v>EMPLOYEE 1</v>
      </c>
      <c r="N2" s="22">
        <f>IF(E2&gt;DATE(2026,10,23),"Upcoming",DATE(2026,10,23)-E2)</f>
        <v>4313</v>
      </c>
      <c r="O2" s="22" t="str">
        <f>IF(AND(G2&gt;=5,OR(C2="IT",C2="Finance")),"Yes","No")</f>
        <v>Yes</v>
      </c>
    </row>
    <row r="3" spans="1:15" ht="15.5" customHeight="1" x14ac:dyDescent="0.35">
      <c r="A3" s="5">
        <v>3002</v>
      </c>
      <c r="B3" s="4" t="s">
        <v>17</v>
      </c>
      <c r="C3" s="4" t="s">
        <v>16</v>
      </c>
      <c r="D3" s="6">
        <v>31943</v>
      </c>
      <c r="E3" s="3">
        <v>42255</v>
      </c>
      <c r="F3" s="22" t="str">
        <f t="shared" ref="F3:F21" si="0">IF(E3&gt;DATE(2026,10,23),"Upcoming","Active")</f>
        <v>Active</v>
      </c>
      <c r="G3" s="22">
        <f t="shared" ref="G3:G21" si="1">IF(E3&gt;DATE(2026,10,23),0,ROUND(YEARFRAC(E3,DATE(2026,10,23),1),1))</f>
        <v>11.1</v>
      </c>
      <c r="H3" s="22" t="str">
        <f t="shared" ref="H3:H21" si="2">TEXT(E3,"dd mmmm yyyy")</f>
        <v>08 September 2015</v>
      </c>
      <c r="I3" s="22" t="str">
        <f t="shared" ref="I3:I21" si="3">TEXT(E3,"dddd")</f>
        <v>Tuesday</v>
      </c>
      <c r="J3" s="22" t="str">
        <f t="shared" ref="J3:J21" si="4">IF(D3&gt;=100000,"High",IF(D3&gt;=60000,"Mid","Entry"))</f>
        <v>Entry</v>
      </c>
      <c r="K3" s="22">
        <f t="shared" ref="K3:K21" si="5">D3*10%</f>
        <v>3194.3</v>
      </c>
      <c r="L3" s="22">
        <f t="shared" ref="L3:L21" si="6">ROUND(K3,-2)</f>
        <v>3200</v>
      </c>
      <c r="M3" s="22" t="str">
        <f t="shared" ref="M3:M21" si="7">UPPER(B3)</f>
        <v>EMPLOYEE 2</v>
      </c>
      <c r="N3" s="22">
        <f t="shared" ref="N3:N21" si="8">IF(E3&gt;DATE(2026,10,23),"Upcoming",DATE(2026,10,23)-E3)</f>
        <v>4063</v>
      </c>
      <c r="O3" s="22" t="str">
        <f t="shared" ref="O3:O21" si="9">IF(AND(G3&gt;=5,OR(C3="IT",C3="Finance")),"Yes","No")</f>
        <v>Yes</v>
      </c>
    </row>
    <row r="4" spans="1:15" ht="15.5" customHeight="1" x14ac:dyDescent="0.35">
      <c r="A4" s="5">
        <v>3003</v>
      </c>
      <c r="B4" s="4" t="s">
        <v>18</v>
      </c>
      <c r="C4" s="4" t="s">
        <v>19</v>
      </c>
      <c r="D4" s="6">
        <v>63374</v>
      </c>
      <c r="E4" s="3">
        <v>42505</v>
      </c>
      <c r="F4" s="22" t="str">
        <f t="shared" si="0"/>
        <v>Active</v>
      </c>
      <c r="G4" s="22">
        <f t="shared" si="1"/>
        <v>10.4</v>
      </c>
      <c r="H4" s="22" t="str">
        <f t="shared" si="2"/>
        <v>15 May 2016</v>
      </c>
      <c r="I4" s="22" t="str">
        <f t="shared" si="3"/>
        <v>Sunday</v>
      </c>
      <c r="J4" s="22" t="str">
        <f t="shared" si="4"/>
        <v>Mid</v>
      </c>
      <c r="K4" s="22">
        <f t="shared" si="5"/>
        <v>6337.4000000000005</v>
      </c>
      <c r="L4" s="22">
        <f t="shared" si="6"/>
        <v>6300</v>
      </c>
      <c r="M4" s="22" t="str">
        <f t="shared" si="7"/>
        <v>EMPLOYEE 3</v>
      </c>
      <c r="N4" s="22">
        <f t="shared" si="8"/>
        <v>3813</v>
      </c>
      <c r="O4" s="22" t="str">
        <f t="shared" si="9"/>
        <v>No</v>
      </c>
    </row>
    <row r="5" spans="1:15" ht="17" customHeight="1" x14ac:dyDescent="0.35">
      <c r="A5" s="5">
        <v>3004</v>
      </c>
      <c r="B5" s="4" t="s">
        <v>20</v>
      </c>
      <c r="C5" s="4" t="s">
        <v>16</v>
      </c>
      <c r="D5" s="6">
        <v>109972</v>
      </c>
      <c r="E5" s="3">
        <v>42755</v>
      </c>
      <c r="F5" s="22" t="str">
        <f t="shared" si="0"/>
        <v>Active</v>
      </c>
      <c r="G5" s="22">
        <f t="shared" si="1"/>
        <v>9.8000000000000007</v>
      </c>
      <c r="H5" s="22" t="str">
        <f t="shared" si="2"/>
        <v>20 January 2017</v>
      </c>
      <c r="I5" s="22" t="str">
        <f t="shared" si="3"/>
        <v>Friday</v>
      </c>
      <c r="J5" s="22" t="str">
        <f t="shared" si="4"/>
        <v>High</v>
      </c>
      <c r="K5" s="22">
        <f t="shared" si="5"/>
        <v>10997.2</v>
      </c>
      <c r="L5" s="22">
        <f t="shared" si="6"/>
        <v>11000</v>
      </c>
      <c r="M5" s="22" t="str">
        <f t="shared" si="7"/>
        <v>EMPLOYEE 4</v>
      </c>
      <c r="N5" s="22">
        <f t="shared" si="8"/>
        <v>3563</v>
      </c>
      <c r="O5" s="22" t="str">
        <f t="shared" si="9"/>
        <v>Yes</v>
      </c>
    </row>
    <row r="6" spans="1:15" ht="16.5" customHeight="1" x14ac:dyDescent="0.35">
      <c r="A6" s="5">
        <v>3005</v>
      </c>
      <c r="B6" s="4" t="s">
        <v>21</v>
      </c>
      <c r="C6" s="4" t="s">
        <v>22</v>
      </c>
      <c r="D6" s="6">
        <v>54149</v>
      </c>
      <c r="E6" s="3">
        <v>43005</v>
      </c>
      <c r="F6" s="22" t="str">
        <f t="shared" si="0"/>
        <v>Active</v>
      </c>
      <c r="G6" s="22">
        <f t="shared" si="1"/>
        <v>9.1</v>
      </c>
      <c r="H6" s="22" t="str">
        <f t="shared" si="2"/>
        <v>27 September 2017</v>
      </c>
      <c r="I6" s="22" t="str">
        <f t="shared" si="3"/>
        <v>Wednesday</v>
      </c>
      <c r="J6" s="22" t="str">
        <f t="shared" si="4"/>
        <v>Entry</v>
      </c>
      <c r="K6" s="22">
        <f t="shared" si="5"/>
        <v>5414.9000000000005</v>
      </c>
      <c r="L6" s="22">
        <f t="shared" si="6"/>
        <v>5400</v>
      </c>
      <c r="M6" s="22" t="str">
        <f t="shared" si="7"/>
        <v>EMPLOYEE 5</v>
      </c>
      <c r="N6" s="22">
        <f t="shared" si="8"/>
        <v>3313</v>
      </c>
      <c r="O6" s="22" t="str">
        <f t="shared" si="9"/>
        <v>Yes</v>
      </c>
    </row>
    <row r="7" spans="1:15" ht="17.5" customHeight="1" x14ac:dyDescent="0.35">
      <c r="A7" s="5">
        <v>3006</v>
      </c>
      <c r="B7" s="4" t="s">
        <v>23</v>
      </c>
      <c r="C7" s="4" t="s">
        <v>22</v>
      </c>
      <c r="D7" s="6">
        <v>78689</v>
      </c>
      <c r="E7" s="3">
        <v>43255</v>
      </c>
      <c r="F7" s="22" t="str">
        <f t="shared" si="0"/>
        <v>Active</v>
      </c>
      <c r="G7" s="22">
        <f t="shared" si="1"/>
        <v>8.4</v>
      </c>
      <c r="H7" s="22" t="str">
        <f t="shared" si="2"/>
        <v>04 June 2018</v>
      </c>
      <c r="I7" s="22" t="str">
        <f t="shared" si="3"/>
        <v>Monday</v>
      </c>
      <c r="J7" s="22" t="str">
        <f t="shared" si="4"/>
        <v>Mid</v>
      </c>
      <c r="K7" s="22">
        <f t="shared" si="5"/>
        <v>7868.9000000000005</v>
      </c>
      <c r="L7" s="22">
        <f t="shared" si="6"/>
        <v>7900</v>
      </c>
      <c r="M7" s="22" t="str">
        <f t="shared" si="7"/>
        <v>EMPLOYEE 6</v>
      </c>
      <c r="N7" s="22">
        <f t="shared" si="8"/>
        <v>3063</v>
      </c>
      <c r="O7" s="22" t="str">
        <f t="shared" si="9"/>
        <v>Yes</v>
      </c>
    </row>
    <row r="8" spans="1:15" ht="17" customHeight="1" x14ac:dyDescent="0.35">
      <c r="A8" s="5">
        <v>3007</v>
      </c>
      <c r="B8" s="4" t="s">
        <v>24</v>
      </c>
      <c r="C8" s="4" t="s">
        <v>25</v>
      </c>
      <c r="D8" s="6">
        <v>35960</v>
      </c>
      <c r="E8" s="3">
        <v>43505</v>
      </c>
      <c r="F8" s="22" t="str">
        <f t="shared" si="0"/>
        <v>Active</v>
      </c>
      <c r="G8" s="22">
        <f t="shared" si="1"/>
        <v>7.7</v>
      </c>
      <c r="H8" s="22" t="str">
        <f t="shared" si="2"/>
        <v>09 February 2019</v>
      </c>
      <c r="I8" s="22" t="str">
        <f t="shared" si="3"/>
        <v>Saturday</v>
      </c>
      <c r="J8" s="22" t="str">
        <f t="shared" si="4"/>
        <v>Entry</v>
      </c>
      <c r="K8" s="22">
        <f t="shared" si="5"/>
        <v>3596</v>
      </c>
      <c r="L8" s="22">
        <f t="shared" si="6"/>
        <v>3600</v>
      </c>
      <c r="M8" s="22" t="str">
        <f t="shared" si="7"/>
        <v>EMPLOYEE 7</v>
      </c>
      <c r="N8" s="22">
        <f t="shared" si="8"/>
        <v>2813</v>
      </c>
      <c r="O8" s="22" t="str">
        <f t="shared" si="9"/>
        <v>No</v>
      </c>
    </row>
    <row r="9" spans="1:15" ht="17.5" customHeight="1" x14ac:dyDescent="0.35">
      <c r="A9" s="5">
        <v>3008</v>
      </c>
      <c r="B9" s="4" t="s">
        <v>26</v>
      </c>
      <c r="C9" s="4" t="s">
        <v>22</v>
      </c>
      <c r="D9" s="6">
        <v>91659</v>
      </c>
      <c r="E9" s="3">
        <v>43755</v>
      </c>
      <c r="F9" s="22" t="str">
        <f t="shared" si="0"/>
        <v>Active</v>
      </c>
      <c r="G9" s="22">
        <f t="shared" si="1"/>
        <v>7</v>
      </c>
      <c r="H9" s="22" t="str">
        <f t="shared" si="2"/>
        <v>17 October 2019</v>
      </c>
      <c r="I9" s="22" t="str">
        <f t="shared" si="3"/>
        <v>Thursday</v>
      </c>
      <c r="J9" s="22" t="str">
        <f t="shared" si="4"/>
        <v>Mid</v>
      </c>
      <c r="K9" s="22">
        <f t="shared" si="5"/>
        <v>9165.9</v>
      </c>
      <c r="L9" s="22">
        <f t="shared" si="6"/>
        <v>9200</v>
      </c>
      <c r="M9" s="22" t="str">
        <f t="shared" si="7"/>
        <v>EMPLOYEE 8</v>
      </c>
      <c r="N9" s="22">
        <f t="shared" si="8"/>
        <v>2563</v>
      </c>
      <c r="O9" s="22" t="str">
        <f t="shared" si="9"/>
        <v>Yes</v>
      </c>
    </row>
    <row r="10" spans="1:15" ht="15.5" customHeight="1" x14ac:dyDescent="0.35">
      <c r="A10" s="5">
        <v>3009</v>
      </c>
      <c r="B10" s="4" t="s">
        <v>27</v>
      </c>
      <c r="C10" s="4" t="s">
        <v>22</v>
      </c>
      <c r="D10" s="6">
        <v>90423</v>
      </c>
      <c r="E10" s="3">
        <v>44005</v>
      </c>
      <c r="F10" s="22" t="str">
        <f t="shared" si="0"/>
        <v>Active</v>
      </c>
      <c r="G10" s="22">
        <f t="shared" si="1"/>
        <v>6.3</v>
      </c>
      <c r="H10" s="22" t="str">
        <f t="shared" si="2"/>
        <v>23 June 2020</v>
      </c>
      <c r="I10" s="22" t="str">
        <f t="shared" si="3"/>
        <v>Tuesday</v>
      </c>
      <c r="J10" s="22" t="str">
        <f t="shared" si="4"/>
        <v>Mid</v>
      </c>
      <c r="K10" s="22">
        <f t="shared" si="5"/>
        <v>9042.3000000000011</v>
      </c>
      <c r="L10" s="22">
        <f t="shared" si="6"/>
        <v>9000</v>
      </c>
      <c r="M10" s="22" t="str">
        <f t="shared" si="7"/>
        <v>EMPLOYEE 9</v>
      </c>
      <c r="N10" s="22">
        <f t="shared" si="8"/>
        <v>2313</v>
      </c>
      <c r="O10" s="22" t="str">
        <f t="shared" si="9"/>
        <v>Yes</v>
      </c>
    </row>
    <row r="11" spans="1:15" ht="17" customHeight="1" x14ac:dyDescent="0.35">
      <c r="A11" s="5">
        <v>3010</v>
      </c>
      <c r="B11" s="4" t="s">
        <v>28</v>
      </c>
      <c r="C11" s="4" t="s">
        <v>19</v>
      </c>
      <c r="D11" s="6">
        <v>107877</v>
      </c>
      <c r="E11" s="3">
        <v>44255</v>
      </c>
      <c r="F11" s="22" t="str">
        <f t="shared" si="0"/>
        <v>Active</v>
      </c>
      <c r="G11" s="22">
        <f t="shared" si="1"/>
        <v>5.6</v>
      </c>
      <c r="H11" s="22" t="str">
        <f t="shared" si="2"/>
        <v>28 February 2021</v>
      </c>
      <c r="I11" s="22" t="str">
        <f t="shared" si="3"/>
        <v>Sunday</v>
      </c>
      <c r="J11" s="22" t="str">
        <f t="shared" si="4"/>
        <v>High</v>
      </c>
      <c r="K11" s="22">
        <f t="shared" si="5"/>
        <v>10787.7</v>
      </c>
      <c r="L11" s="22">
        <f t="shared" si="6"/>
        <v>10800</v>
      </c>
      <c r="M11" s="22" t="str">
        <f t="shared" si="7"/>
        <v>EMPLOYEE 10</v>
      </c>
      <c r="N11" s="22">
        <f t="shared" si="8"/>
        <v>2063</v>
      </c>
      <c r="O11" s="22" t="str">
        <f t="shared" si="9"/>
        <v>No</v>
      </c>
    </row>
    <row r="12" spans="1:15" ht="16.5" customHeight="1" x14ac:dyDescent="0.35">
      <c r="A12" s="5">
        <v>3011</v>
      </c>
      <c r="B12" s="4" t="s">
        <v>29</v>
      </c>
      <c r="C12" s="4" t="s">
        <v>16</v>
      </c>
      <c r="D12" s="6">
        <v>107634</v>
      </c>
      <c r="E12" s="3">
        <v>44505</v>
      </c>
      <c r="F12" s="22" t="str">
        <f t="shared" si="0"/>
        <v>Active</v>
      </c>
      <c r="G12" s="22">
        <f t="shared" si="1"/>
        <v>5</v>
      </c>
      <c r="H12" s="22" t="str">
        <f t="shared" si="2"/>
        <v>05 November 2021</v>
      </c>
      <c r="I12" s="22" t="str">
        <f t="shared" si="3"/>
        <v>Friday</v>
      </c>
      <c r="J12" s="22" t="str">
        <f t="shared" si="4"/>
        <v>High</v>
      </c>
      <c r="K12" s="22">
        <f t="shared" si="5"/>
        <v>10763.400000000001</v>
      </c>
      <c r="L12" s="22">
        <f t="shared" si="6"/>
        <v>10800</v>
      </c>
      <c r="M12" s="22" t="str">
        <f t="shared" si="7"/>
        <v>EMPLOYEE 11</v>
      </c>
      <c r="N12" s="22">
        <f t="shared" si="8"/>
        <v>1813</v>
      </c>
      <c r="O12" s="22" t="str">
        <f t="shared" si="9"/>
        <v>Yes</v>
      </c>
    </row>
    <row r="13" spans="1:15" ht="17" customHeight="1" x14ac:dyDescent="0.35">
      <c r="A13" s="5">
        <v>3012</v>
      </c>
      <c r="B13" s="4" t="s">
        <v>30</v>
      </c>
      <c r="C13" s="4" t="s">
        <v>16</v>
      </c>
      <c r="D13" s="6">
        <v>35226</v>
      </c>
      <c r="E13" s="3">
        <v>44755</v>
      </c>
      <c r="F13" s="22" t="str">
        <f t="shared" si="0"/>
        <v>Active</v>
      </c>
      <c r="G13" s="22">
        <f t="shared" si="1"/>
        <v>4.3</v>
      </c>
      <c r="H13" s="22" t="str">
        <f t="shared" si="2"/>
        <v>13 July 2022</v>
      </c>
      <c r="I13" s="22" t="str">
        <f t="shared" si="3"/>
        <v>Wednesday</v>
      </c>
      <c r="J13" s="22" t="str">
        <f t="shared" si="4"/>
        <v>Entry</v>
      </c>
      <c r="K13" s="22">
        <f t="shared" si="5"/>
        <v>3522.6000000000004</v>
      </c>
      <c r="L13" s="22">
        <f t="shared" si="6"/>
        <v>3500</v>
      </c>
      <c r="M13" s="22" t="str">
        <f t="shared" si="7"/>
        <v>EMPLOYEE 12</v>
      </c>
      <c r="N13" s="22">
        <f t="shared" si="8"/>
        <v>1563</v>
      </c>
      <c r="O13" s="22" t="str">
        <f t="shared" si="9"/>
        <v>No</v>
      </c>
    </row>
    <row r="14" spans="1:15" ht="16.5" customHeight="1" x14ac:dyDescent="0.35">
      <c r="A14" s="5">
        <v>3013</v>
      </c>
      <c r="B14" s="4" t="s">
        <v>31</v>
      </c>
      <c r="C14" s="4" t="s">
        <v>19</v>
      </c>
      <c r="D14" s="6">
        <v>40872</v>
      </c>
      <c r="E14" s="3">
        <v>45005</v>
      </c>
      <c r="F14" s="22" t="str">
        <f t="shared" si="0"/>
        <v>Active</v>
      </c>
      <c r="G14" s="22">
        <f t="shared" si="1"/>
        <v>3.6</v>
      </c>
      <c r="H14" s="22" t="str">
        <f t="shared" si="2"/>
        <v>20 March 2023</v>
      </c>
      <c r="I14" s="22" t="str">
        <f t="shared" si="3"/>
        <v>Monday</v>
      </c>
      <c r="J14" s="22" t="str">
        <f t="shared" si="4"/>
        <v>Entry</v>
      </c>
      <c r="K14" s="22">
        <f t="shared" si="5"/>
        <v>4087.2000000000003</v>
      </c>
      <c r="L14" s="22">
        <f t="shared" si="6"/>
        <v>4100</v>
      </c>
      <c r="M14" s="22" t="str">
        <f t="shared" si="7"/>
        <v>EMPLOYEE 13</v>
      </c>
      <c r="N14" s="22">
        <f t="shared" si="8"/>
        <v>1313</v>
      </c>
      <c r="O14" s="22" t="str">
        <f t="shared" si="9"/>
        <v>No</v>
      </c>
    </row>
    <row r="15" spans="1:15" ht="17" customHeight="1" x14ac:dyDescent="0.35">
      <c r="A15" s="5">
        <v>3014</v>
      </c>
      <c r="B15" s="4" t="s">
        <v>32</v>
      </c>
      <c r="C15" s="4" t="s">
        <v>19</v>
      </c>
      <c r="D15" s="6">
        <v>55378</v>
      </c>
      <c r="E15" s="3">
        <v>45255</v>
      </c>
      <c r="F15" s="22" t="str">
        <f t="shared" si="0"/>
        <v>Active</v>
      </c>
      <c r="G15" s="22">
        <f t="shared" si="1"/>
        <v>2.9</v>
      </c>
      <c r="H15" s="22" t="str">
        <f t="shared" si="2"/>
        <v>25 November 2023</v>
      </c>
      <c r="I15" s="22" t="str">
        <f t="shared" si="3"/>
        <v>Saturday</v>
      </c>
      <c r="J15" s="22" t="str">
        <f t="shared" si="4"/>
        <v>Entry</v>
      </c>
      <c r="K15" s="22">
        <f t="shared" si="5"/>
        <v>5537.8</v>
      </c>
      <c r="L15" s="22">
        <f t="shared" si="6"/>
        <v>5500</v>
      </c>
      <c r="M15" s="22" t="str">
        <f t="shared" si="7"/>
        <v>EMPLOYEE 14</v>
      </c>
      <c r="N15" s="22">
        <f t="shared" si="8"/>
        <v>1063</v>
      </c>
      <c r="O15" s="22" t="str">
        <f t="shared" si="9"/>
        <v>No</v>
      </c>
    </row>
    <row r="16" spans="1:15" ht="16.5" customHeight="1" x14ac:dyDescent="0.35">
      <c r="A16" s="5">
        <v>3015</v>
      </c>
      <c r="B16" s="4" t="s">
        <v>33</v>
      </c>
      <c r="C16" s="4" t="s">
        <v>19</v>
      </c>
      <c r="D16" s="6">
        <v>63297</v>
      </c>
      <c r="E16" s="3">
        <v>45505</v>
      </c>
      <c r="F16" s="22" t="str">
        <f t="shared" si="0"/>
        <v>Active</v>
      </c>
      <c r="G16" s="22">
        <f t="shared" si="1"/>
        <v>2.2000000000000002</v>
      </c>
      <c r="H16" s="22" t="str">
        <f t="shared" si="2"/>
        <v>01 August 2024</v>
      </c>
      <c r="I16" s="22" t="str">
        <f t="shared" si="3"/>
        <v>Thursday</v>
      </c>
      <c r="J16" s="22" t="str">
        <f t="shared" si="4"/>
        <v>Mid</v>
      </c>
      <c r="K16" s="22">
        <f t="shared" si="5"/>
        <v>6329.7000000000007</v>
      </c>
      <c r="L16" s="22">
        <f t="shared" si="6"/>
        <v>6300</v>
      </c>
      <c r="M16" s="22" t="str">
        <f t="shared" si="7"/>
        <v>EMPLOYEE 15</v>
      </c>
      <c r="N16" s="22">
        <f t="shared" si="8"/>
        <v>813</v>
      </c>
      <c r="O16" s="22" t="str">
        <f>IF(AND(G16&gt;=5,OR(C16="IT",C16="Finance")),"Yes","No")</f>
        <v>No</v>
      </c>
    </row>
    <row r="17" spans="1:15" ht="17" customHeight="1" x14ac:dyDescent="0.35">
      <c r="A17" s="5">
        <v>3016</v>
      </c>
      <c r="B17" s="4" t="s">
        <v>34</v>
      </c>
      <c r="C17" s="4" t="s">
        <v>16</v>
      </c>
      <c r="D17" s="6">
        <v>114173</v>
      </c>
      <c r="E17" s="3">
        <v>45755</v>
      </c>
      <c r="F17" s="22" t="str">
        <f t="shared" si="0"/>
        <v>Active</v>
      </c>
      <c r="G17" s="22">
        <f t="shared" si="1"/>
        <v>1.5</v>
      </c>
      <c r="H17" s="22" t="str">
        <f t="shared" si="2"/>
        <v>08 April 2025</v>
      </c>
      <c r="I17" s="22" t="str">
        <f t="shared" si="3"/>
        <v>Tuesday</v>
      </c>
      <c r="J17" s="22" t="str">
        <f t="shared" si="4"/>
        <v>High</v>
      </c>
      <c r="K17" s="22">
        <f t="shared" si="5"/>
        <v>11417.300000000001</v>
      </c>
      <c r="L17" s="22">
        <f t="shared" si="6"/>
        <v>11400</v>
      </c>
      <c r="M17" s="22" t="str">
        <f t="shared" si="7"/>
        <v>EMPLOYEE 16</v>
      </c>
      <c r="N17" s="22">
        <f t="shared" si="8"/>
        <v>563</v>
      </c>
      <c r="O17" s="22" t="str">
        <f t="shared" si="9"/>
        <v>No</v>
      </c>
    </row>
    <row r="18" spans="1:15" ht="17" customHeight="1" x14ac:dyDescent="0.35">
      <c r="A18" s="5">
        <v>3017</v>
      </c>
      <c r="B18" s="4" t="s">
        <v>35</v>
      </c>
      <c r="C18" s="4" t="s">
        <v>19</v>
      </c>
      <c r="D18" s="6">
        <v>86915</v>
      </c>
      <c r="E18" s="3">
        <v>46005</v>
      </c>
      <c r="F18" s="22" t="str">
        <f t="shared" si="0"/>
        <v>Active</v>
      </c>
      <c r="G18" s="22">
        <f t="shared" si="1"/>
        <v>0.9</v>
      </c>
      <c r="H18" s="22" t="str">
        <f t="shared" si="2"/>
        <v>14 December 2025</v>
      </c>
      <c r="I18" s="22" t="str">
        <f t="shared" si="3"/>
        <v>Sunday</v>
      </c>
      <c r="J18" s="22" t="str">
        <f t="shared" si="4"/>
        <v>Mid</v>
      </c>
      <c r="K18" s="22">
        <f t="shared" si="5"/>
        <v>8691.5</v>
      </c>
      <c r="L18" s="22">
        <f t="shared" si="6"/>
        <v>8700</v>
      </c>
      <c r="M18" s="22" t="str">
        <f t="shared" si="7"/>
        <v>EMPLOYEE 17</v>
      </c>
      <c r="N18" s="22">
        <f t="shared" si="8"/>
        <v>313</v>
      </c>
      <c r="O18" s="22" t="str">
        <f t="shared" si="9"/>
        <v>No</v>
      </c>
    </row>
    <row r="19" spans="1:15" ht="15.5" customHeight="1" x14ac:dyDescent="0.35">
      <c r="A19" s="5">
        <v>3018</v>
      </c>
      <c r="B19" s="4" t="s">
        <v>36</v>
      </c>
      <c r="C19" s="4" t="s">
        <v>22</v>
      </c>
      <c r="D19" s="6">
        <v>116284</v>
      </c>
      <c r="E19" s="3">
        <v>46255</v>
      </c>
      <c r="F19" s="22" t="str">
        <f t="shared" si="0"/>
        <v>Active</v>
      </c>
      <c r="G19" s="22">
        <f t="shared" si="1"/>
        <v>0.2</v>
      </c>
      <c r="H19" s="22" t="str">
        <f t="shared" si="2"/>
        <v>21 August 2026</v>
      </c>
      <c r="I19" s="22" t="str">
        <f t="shared" si="3"/>
        <v>Friday</v>
      </c>
      <c r="J19" s="22" t="str">
        <f t="shared" si="4"/>
        <v>High</v>
      </c>
      <c r="K19" s="22">
        <f t="shared" si="5"/>
        <v>11628.400000000001</v>
      </c>
      <c r="L19" s="22">
        <f t="shared" si="6"/>
        <v>11600</v>
      </c>
      <c r="M19" s="22" t="str">
        <f t="shared" si="7"/>
        <v>EMPLOYEE 18</v>
      </c>
      <c r="N19" s="22">
        <f t="shared" si="8"/>
        <v>63</v>
      </c>
      <c r="O19" s="22" t="str">
        <f t="shared" si="9"/>
        <v>No</v>
      </c>
    </row>
    <row r="20" spans="1:15" ht="16.5" customHeight="1" x14ac:dyDescent="0.35">
      <c r="A20" s="5">
        <v>3019</v>
      </c>
      <c r="B20" s="4" t="s">
        <v>37</v>
      </c>
      <c r="C20" s="4" t="s">
        <v>25</v>
      </c>
      <c r="D20" s="6">
        <v>116283</v>
      </c>
      <c r="E20" s="3">
        <v>46505</v>
      </c>
      <c r="F20" s="22" t="str">
        <f t="shared" si="0"/>
        <v>Upcoming</v>
      </c>
      <c r="G20" s="22">
        <f t="shared" si="1"/>
        <v>0</v>
      </c>
      <c r="H20" s="22" t="str">
        <f t="shared" si="2"/>
        <v>28 April 2027</v>
      </c>
      <c r="I20" s="22" t="str">
        <f t="shared" si="3"/>
        <v>Wednesday</v>
      </c>
      <c r="J20" s="22" t="str">
        <f t="shared" si="4"/>
        <v>High</v>
      </c>
      <c r="K20" s="22">
        <f t="shared" si="5"/>
        <v>11628.300000000001</v>
      </c>
      <c r="L20" s="22">
        <f t="shared" si="6"/>
        <v>11600</v>
      </c>
      <c r="M20" s="22" t="str">
        <f t="shared" si="7"/>
        <v>EMPLOYEE 19</v>
      </c>
      <c r="N20" s="22" t="str">
        <f t="shared" si="8"/>
        <v>Upcoming</v>
      </c>
      <c r="O20" s="22" t="str">
        <f t="shared" si="9"/>
        <v>No</v>
      </c>
    </row>
    <row r="21" spans="1:15" ht="15" customHeight="1" x14ac:dyDescent="0.35">
      <c r="A21" s="5">
        <v>3020</v>
      </c>
      <c r="B21" s="4" t="s">
        <v>38</v>
      </c>
      <c r="C21" s="4" t="s">
        <v>25</v>
      </c>
      <c r="D21" s="6">
        <v>99924</v>
      </c>
      <c r="E21" s="3">
        <v>46755</v>
      </c>
      <c r="F21" s="22" t="str">
        <f t="shared" si="0"/>
        <v>Upcoming</v>
      </c>
      <c r="G21" s="22">
        <f t="shared" si="1"/>
        <v>0</v>
      </c>
      <c r="H21" s="22" t="str">
        <f t="shared" si="2"/>
        <v>03 January 2028</v>
      </c>
      <c r="I21" s="22" t="str">
        <f t="shared" si="3"/>
        <v>Monday</v>
      </c>
      <c r="J21" s="22" t="str">
        <f t="shared" si="4"/>
        <v>Mid</v>
      </c>
      <c r="K21" s="22">
        <f t="shared" si="5"/>
        <v>9992.4000000000015</v>
      </c>
      <c r="L21" s="22">
        <f t="shared" si="6"/>
        <v>10000</v>
      </c>
      <c r="M21" s="22" t="str">
        <f t="shared" si="7"/>
        <v>EMPLOYEE 20</v>
      </c>
      <c r="N21" s="22" t="str">
        <f t="shared" si="8"/>
        <v>Upcoming</v>
      </c>
      <c r="O21" s="22" t="str">
        <f t="shared" si="9"/>
        <v>No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8"/>
  <sheetViews>
    <sheetView topLeftCell="A23" workbookViewId="0">
      <selection activeCell="A38" sqref="A38:P38"/>
    </sheetView>
  </sheetViews>
  <sheetFormatPr defaultRowHeight="14.5" x14ac:dyDescent="0.35"/>
  <cols>
    <col min="1" max="1" width="14.6328125" customWidth="1"/>
    <col min="2" max="2" width="16.36328125" customWidth="1"/>
    <col min="3" max="3" width="22.54296875" customWidth="1"/>
    <col min="4" max="4" width="18.08984375" customWidth="1"/>
    <col min="5" max="5" width="17.453125" customWidth="1"/>
    <col min="6" max="6" width="18.6328125" customWidth="1"/>
    <col min="7" max="7" width="17.81640625" customWidth="1"/>
  </cols>
  <sheetData>
    <row r="1" spans="1:16" s="24" customFormat="1" ht="23.5" customHeight="1" x14ac:dyDescent="0.6">
      <c r="A1" s="31" t="s">
        <v>125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s="24" customFormat="1" ht="19.5" customHeight="1" x14ac:dyDescent="0.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 spans="1:16" ht="15.5" x14ac:dyDescent="0.35">
      <c r="A3" s="43" t="s">
        <v>133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</row>
    <row r="4" spans="1:16" x14ac:dyDescent="0.35">
      <c r="A4" s="30" t="s">
        <v>124</v>
      </c>
      <c r="B4" s="30" t="s">
        <v>40</v>
      </c>
      <c r="C4" s="30"/>
      <c r="D4" s="30"/>
      <c r="E4" s="30"/>
      <c r="F4" s="30"/>
      <c r="G4" s="30"/>
    </row>
    <row r="5" spans="1:16" x14ac:dyDescent="0.35">
      <c r="A5" s="25" t="s">
        <v>41</v>
      </c>
      <c r="B5" s="22" t="s">
        <v>55</v>
      </c>
      <c r="C5" s="22" t="s">
        <v>75</v>
      </c>
      <c r="D5" s="22" t="s">
        <v>73</v>
      </c>
      <c r="E5" s="22" t="s">
        <v>61</v>
      </c>
      <c r="F5" s="22" t="s">
        <v>58</v>
      </c>
      <c r="G5" s="22" t="s">
        <v>122</v>
      </c>
    </row>
    <row r="6" spans="1:16" x14ac:dyDescent="0.35">
      <c r="A6" s="22" t="s">
        <v>63</v>
      </c>
      <c r="B6" s="26">
        <v>80349</v>
      </c>
      <c r="C6" s="26">
        <v>31238</v>
      </c>
      <c r="D6" s="26"/>
      <c r="E6" s="26">
        <v>37335</v>
      </c>
      <c r="F6" s="26">
        <v>25010</v>
      </c>
      <c r="G6" s="26">
        <v>173932</v>
      </c>
    </row>
    <row r="7" spans="1:16" x14ac:dyDescent="0.35">
      <c r="A7" s="22" t="s">
        <v>65</v>
      </c>
      <c r="B7" s="26">
        <v>43388</v>
      </c>
      <c r="C7" s="26"/>
      <c r="D7" s="26">
        <v>77482</v>
      </c>
      <c r="E7" s="26">
        <v>19757</v>
      </c>
      <c r="F7" s="26"/>
      <c r="G7" s="26">
        <v>140627</v>
      </c>
    </row>
    <row r="8" spans="1:16" x14ac:dyDescent="0.35">
      <c r="A8" s="22" t="s">
        <v>56</v>
      </c>
      <c r="B8" s="26">
        <v>42233</v>
      </c>
      <c r="C8" s="26">
        <v>7283</v>
      </c>
      <c r="D8" s="26"/>
      <c r="E8" s="26">
        <v>23672</v>
      </c>
      <c r="F8" s="26"/>
      <c r="G8" s="26">
        <v>73188</v>
      </c>
    </row>
    <row r="9" spans="1:16" x14ac:dyDescent="0.35">
      <c r="A9" s="22" t="s">
        <v>59</v>
      </c>
      <c r="B9" s="26"/>
      <c r="C9" s="26"/>
      <c r="D9" s="26">
        <v>38161</v>
      </c>
      <c r="E9" s="26">
        <v>30436</v>
      </c>
      <c r="F9" s="26">
        <v>51381</v>
      </c>
      <c r="G9" s="26">
        <v>119978</v>
      </c>
    </row>
    <row r="10" spans="1:16" x14ac:dyDescent="0.35">
      <c r="A10" s="22" t="s">
        <v>122</v>
      </c>
      <c r="B10" s="26">
        <v>165970</v>
      </c>
      <c r="C10" s="26">
        <v>38521</v>
      </c>
      <c r="D10" s="26">
        <v>115643</v>
      </c>
      <c r="E10" s="26">
        <v>111200</v>
      </c>
      <c r="F10" s="26">
        <v>76391</v>
      </c>
      <c r="G10" s="26">
        <v>507725</v>
      </c>
    </row>
    <row r="12" spans="1:16" ht="15.5" x14ac:dyDescent="0.35">
      <c r="A12" s="43" t="s">
        <v>132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</row>
    <row r="13" spans="1:16" x14ac:dyDescent="0.35">
      <c r="A13" s="28" t="s">
        <v>131</v>
      </c>
      <c r="B13" s="29" t="s">
        <v>128</v>
      </c>
      <c r="C13" s="29" t="s">
        <v>129</v>
      </c>
      <c r="D13" s="29" t="s">
        <v>130</v>
      </c>
    </row>
    <row r="14" spans="1:16" x14ac:dyDescent="0.35">
      <c r="A14" s="22" t="s">
        <v>55</v>
      </c>
      <c r="B14" s="26">
        <v>165970</v>
      </c>
      <c r="C14" s="26">
        <v>23979.26</v>
      </c>
      <c r="D14" s="26">
        <v>141990.74</v>
      </c>
    </row>
    <row r="15" spans="1:16" x14ac:dyDescent="0.35">
      <c r="A15" s="22" t="s">
        <v>75</v>
      </c>
      <c r="B15" s="26">
        <v>38521</v>
      </c>
      <c r="C15" s="26">
        <v>3269.46</v>
      </c>
      <c r="D15" s="26">
        <v>35251.54</v>
      </c>
    </row>
    <row r="16" spans="1:16" x14ac:dyDescent="0.35">
      <c r="A16" s="22" t="s">
        <v>73</v>
      </c>
      <c r="B16" s="26">
        <v>115643</v>
      </c>
      <c r="C16" s="26">
        <v>17346.449999999997</v>
      </c>
      <c r="D16" s="26">
        <v>98296.549999999988</v>
      </c>
    </row>
    <row r="17" spans="1:16" x14ac:dyDescent="0.35">
      <c r="A17" s="22" t="s">
        <v>61</v>
      </c>
      <c r="B17" s="26">
        <v>111200</v>
      </c>
      <c r="C17" s="26">
        <v>13822.54</v>
      </c>
      <c r="D17" s="26">
        <v>97377.459999999992</v>
      </c>
    </row>
    <row r="18" spans="1:16" x14ac:dyDescent="0.35">
      <c r="A18" s="22" t="s">
        <v>58</v>
      </c>
      <c r="B18" s="26">
        <v>76391</v>
      </c>
      <c r="C18" s="26">
        <v>8915.630000000001</v>
      </c>
      <c r="D18" s="26">
        <v>67475.37000000001</v>
      </c>
    </row>
    <row r="19" spans="1:16" x14ac:dyDescent="0.35">
      <c r="A19" s="22" t="s">
        <v>122</v>
      </c>
      <c r="B19" s="26">
        <v>507725</v>
      </c>
      <c r="C19" s="26">
        <v>67333.34</v>
      </c>
      <c r="D19" s="26">
        <v>440391.65999999992</v>
      </c>
    </row>
    <row r="21" spans="1:16" x14ac:dyDescent="0.35">
      <c r="A21" s="44" t="s">
        <v>134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spans="1:16" x14ac:dyDescent="0.35">
      <c r="A22" s="28" t="s">
        <v>41</v>
      </c>
      <c r="B22" s="29" t="s">
        <v>123</v>
      </c>
      <c r="C22" s="29" t="s">
        <v>127</v>
      </c>
      <c r="D22" s="29" t="s">
        <v>126</v>
      </c>
    </row>
    <row r="23" spans="1:16" x14ac:dyDescent="0.35">
      <c r="A23" s="22" t="s">
        <v>63</v>
      </c>
      <c r="B23" s="26">
        <v>173932</v>
      </c>
      <c r="C23" s="26">
        <v>22170.27</v>
      </c>
      <c r="D23" s="26">
        <v>151761.73000000001</v>
      </c>
    </row>
    <row r="24" spans="1:16" x14ac:dyDescent="0.35">
      <c r="A24" s="22" t="s">
        <v>65</v>
      </c>
      <c r="B24" s="26">
        <v>140627</v>
      </c>
      <c r="C24" s="26">
        <v>20106.199999999997</v>
      </c>
      <c r="D24" s="26">
        <v>120520.80000000002</v>
      </c>
    </row>
    <row r="25" spans="1:16" x14ac:dyDescent="0.35">
      <c r="A25" s="22" t="s">
        <v>56</v>
      </c>
      <c r="B25" s="26">
        <v>73188</v>
      </c>
      <c r="C25" s="26">
        <v>7931.57</v>
      </c>
      <c r="D25" s="26">
        <v>65256.429999999993</v>
      </c>
    </row>
    <row r="26" spans="1:16" x14ac:dyDescent="0.35">
      <c r="A26" s="22" t="s">
        <v>59</v>
      </c>
      <c r="B26" s="26">
        <v>119978</v>
      </c>
      <c r="C26" s="26">
        <v>17125.3</v>
      </c>
      <c r="D26" s="26">
        <v>102852.7</v>
      </c>
    </row>
    <row r="27" spans="1:16" x14ac:dyDescent="0.35">
      <c r="A27" s="22" t="s">
        <v>122</v>
      </c>
      <c r="B27" s="26">
        <v>507725</v>
      </c>
      <c r="C27" s="26">
        <v>67333.34</v>
      </c>
      <c r="D27" s="26">
        <v>440391.66000000003</v>
      </c>
    </row>
    <row r="29" spans="1:16" ht="15.5" x14ac:dyDescent="0.35">
      <c r="A29" s="45" t="s">
        <v>139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</row>
    <row r="30" spans="1:16" x14ac:dyDescent="0.35">
      <c r="A30" s="25" t="s">
        <v>144</v>
      </c>
      <c r="B30" s="25" t="s">
        <v>138</v>
      </c>
      <c r="C30" s="22"/>
      <c r="D30" s="22"/>
      <c r="E30" s="22"/>
    </row>
    <row r="31" spans="1:16" x14ac:dyDescent="0.35">
      <c r="A31" s="25" t="s">
        <v>2</v>
      </c>
      <c r="B31" s="22" t="s">
        <v>135</v>
      </c>
      <c r="C31" s="22" t="s">
        <v>136</v>
      </c>
      <c r="D31" s="22" t="s">
        <v>137</v>
      </c>
      <c r="E31" s="22" t="s">
        <v>122</v>
      </c>
    </row>
    <row r="32" spans="1:16" x14ac:dyDescent="0.35">
      <c r="A32" s="22" t="s">
        <v>16</v>
      </c>
      <c r="B32" s="27">
        <v>2</v>
      </c>
      <c r="C32" s="27">
        <v>3</v>
      </c>
      <c r="D32" s="27">
        <v>1</v>
      </c>
      <c r="E32" s="27">
        <v>6</v>
      </c>
    </row>
    <row r="33" spans="1:16" x14ac:dyDescent="0.35">
      <c r="A33" s="22" t="s">
        <v>19</v>
      </c>
      <c r="B33" s="27">
        <v>2</v>
      </c>
      <c r="C33" s="27">
        <v>1</v>
      </c>
      <c r="D33" s="27">
        <v>3</v>
      </c>
      <c r="E33" s="27">
        <v>6</v>
      </c>
    </row>
    <row r="34" spans="1:16" x14ac:dyDescent="0.35">
      <c r="A34" s="22" t="s">
        <v>22</v>
      </c>
      <c r="B34" s="27">
        <v>1</v>
      </c>
      <c r="C34" s="27">
        <v>1</v>
      </c>
      <c r="D34" s="27">
        <v>3</v>
      </c>
      <c r="E34" s="27">
        <v>5</v>
      </c>
    </row>
    <row r="35" spans="1:16" x14ac:dyDescent="0.35">
      <c r="A35" s="22" t="s">
        <v>25</v>
      </c>
      <c r="B35" s="27">
        <v>1</v>
      </c>
      <c r="C35" s="27">
        <v>1</v>
      </c>
      <c r="D35" s="27">
        <v>1</v>
      </c>
      <c r="E35" s="27">
        <v>3</v>
      </c>
    </row>
    <row r="36" spans="1:16" x14ac:dyDescent="0.35">
      <c r="A36" s="22" t="s">
        <v>122</v>
      </c>
      <c r="B36" s="27">
        <v>6</v>
      </c>
      <c r="C36" s="27">
        <v>6</v>
      </c>
      <c r="D36" s="27">
        <v>8</v>
      </c>
      <c r="E36" s="27">
        <v>20</v>
      </c>
    </row>
    <row r="38" spans="1:16" ht="15.5" x14ac:dyDescent="0.35">
      <c r="A38" s="46" t="s">
        <v>146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</row>
    <row r="39" spans="1:16" x14ac:dyDescent="0.35">
      <c r="A39" s="25" t="s">
        <v>147</v>
      </c>
      <c r="B39" s="22" t="s">
        <v>148</v>
      </c>
    </row>
    <row r="40" spans="1:16" x14ac:dyDescent="0.35">
      <c r="A40" s="22" t="s">
        <v>140</v>
      </c>
      <c r="B40" s="27">
        <v>6</v>
      </c>
    </row>
    <row r="41" spans="1:16" x14ac:dyDescent="0.35">
      <c r="A41" s="22" t="s">
        <v>141</v>
      </c>
      <c r="B41" s="27">
        <v>9</v>
      </c>
    </row>
    <row r="42" spans="1:16" x14ac:dyDescent="0.35">
      <c r="A42" s="22" t="s">
        <v>142</v>
      </c>
      <c r="B42" s="27">
        <v>4</v>
      </c>
    </row>
    <row r="43" spans="1:16" x14ac:dyDescent="0.35">
      <c r="A43" s="22" t="s">
        <v>143</v>
      </c>
      <c r="B43" s="27">
        <v>1</v>
      </c>
    </row>
    <row r="44" spans="1:16" x14ac:dyDescent="0.35">
      <c r="A44" s="22" t="s">
        <v>122</v>
      </c>
      <c r="B44" s="27">
        <v>20</v>
      </c>
    </row>
    <row r="46" spans="1:16" ht="15.5" x14ac:dyDescent="0.35">
      <c r="A46" s="32" t="s">
        <v>150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</row>
    <row r="47" spans="1:16" x14ac:dyDescent="0.35">
      <c r="A47" s="25" t="s">
        <v>84</v>
      </c>
      <c r="B47" s="22" t="s">
        <v>149</v>
      </c>
      <c r="C47" s="22" t="s">
        <v>145</v>
      </c>
    </row>
    <row r="48" spans="1:16" x14ac:dyDescent="0.35">
      <c r="A48" s="20">
        <v>1001</v>
      </c>
      <c r="B48" s="21">
        <v>61.666666666666664</v>
      </c>
      <c r="C48" s="27">
        <v>16</v>
      </c>
    </row>
    <row r="49" spans="1:3" x14ac:dyDescent="0.35">
      <c r="A49" s="20">
        <v>1002</v>
      </c>
      <c r="B49" s="21">
        <v>74.666666666666671</v>
      </c>
      <c r="C49" s="27">
        <v>8</v>
      </c>
    </row>
    <row r="50" spans="1:3" x14ac:dyDescent="0.35">
      <c r="A50" s="20">
        <v>1003</v>
      </c>
      <c r="B50" s="21">
        <v>69.333333333333329</v>
      </c>
      <c r="C50" s="27">
        <v>12</v>
      </c>
    </row>
    <row r="51" spans="1:3" x14ac:dyDescent="0.35">
      <c r="A51" s="20">
        <v>1004</v>
      </c>
      <c r="B51" s="21">
        <v>58.333333333333336</v>
      </c>
      <c r="C51" s="27">
        <v>18</v>
      </c>
    </row>
    <row r="52" spans="1:3" x14ac:dyDescent="0.35">
      <c r="A52" s="20">
        <v>1005</v>
      </c>
      <c r="B52" s="21">
        <v>75.333333333333329</v>
      </c>
      <c r="C52" s="27">
        <v>6</v>
      </c>
    </row>
    <row r="53" spans="1:3" x14ac:dyDescent="0.35">
      <c r="A53" s="20">
        <v>1006</v>
      </c>
      <c r="B53" s="21">
        <v>71.666666666666671</v>
      </c>
      <c r="C53" s="27">
        <v>9</v>
      </c>
    </row>
    <row r="54" spans="1:3" x14ac:dyDescent="0.35">
      <c r="A54" s="20">
        <v>1007</v>
      </c>
      <c r="B54" s="21">
        <v>66.666666666666671</v>
      </c>
      <c r="C54" s="27">
        <v>14</v>
      </c>
    </row>
    <row r="55" spans="1:3" x14ac:dyDescent="0.35">
      <c r="A55" s="20">
        <v>1008</v>
      </c>
      <c r="B55" s="21">
        <v>75</v>
      </c>
      <c r="C55" s="27">
        <v>7</v>
      </c>
    </row>
    <row r="56" spans="1:3" x14ac:dyDescent="0.35">
      <c r="A56" s="20">
        <v>1009</v>
      </c>
      <c r="B56" s="21">
        <v>57.333333333333336</v>
      </c>
      <c r="C56" s="27">
        <v>19</v>
      </c>
    </row>
    <row r="57" spans="1:3" x14ac:dyDescent="0.35">
      <c r="A57" s="20">
        <v>1010</v>
      </c>
      <c r="B57" s="21">
        <v>70</v>
      </c>
      <c r="C57" s="27">
        <v>10</v>
      </c>
    </row>
    <row r="58" spans="1:3" x14ac:dyDescent="0.35">
      <c r="A58" s="20">
        <v>1011</v>
      </c>
      <c r="B58" s="21">
        <v>68.333333333333329</v>
      </c>
      <c r="C58" s="27">
        <v>13</v>
      </c>
    </row>
    <row r="59" spans="1:3" x14ac:dyDescent="0.35">
      <c r="A59" s="20">
        <v>1012</v>
      </c>
      <c r="B59" s="21">
        <v>84.333333333333329</v>
      </c>
      <c r="C59" s="27">
        <v>2</v>
      </c>
    </row>
    <row r="60" spans="1:3" x14ac:dyDescent="0.35">
      <c r="A60" s="20">
        <v>1013</v>
      </c>
      <c r="B60" s="21">
        <v>95</v>
      </c>
      <c r="C60" s="27">
        <v>1</v>
      </c>
    </row>
    <row r="61" spans="1:3" x14ac:dyDescent="0.35">
      <c r="A61" s="20">
        <v>1014</v>
      </c>
      <c r="B61" s="21">
        <v>59</v>
      </c>
      <c r="C61" s="27">
        <v>17</v>
      </c>
    </row>
    <row r="62" spans="1:3" x14ac:dyDescent="0.35">
      <c r="A62" s="20">
        <v>1015</v>
      </c>
      <c r="B62" s="21">
        <v>65.333333333333329</v>
      </c>
      <c r="C62" s="27">
        <v>15</v>
      </c>
    </row>
    <row r="63" spans="1:3" x14ac:dyDescent="0.35">
      <c r="A63" s="20">
        <v>1016</v>
      </c>
      <c r="B63" s="21">
        <v>78.333333333333329</v>
      </c>
      <c r="C63" s="27">
        <v>3</v>
      </c>
    </row>
    <row r="64" spans="1:3" x14ac:dyDescent="0.35">
      <c r="A64" s="20">
        <v>1017</v>
      </c>
      <c r="B64" s="21">
        <v>55</v>
      </c>
      <c r="C64" s="27">
        <v>20</v>
      </c>
    </row>
    <row r="65" spans="1:3" x14ac:dyDescent="0.35">
      <c r="A65" s="20">
        <v>1018</v>
      </c>
      <c r="B65" s="21">
        <v>69.666666666666671</v>
      </c>
      <c r="C65" s="27">
        <v>11</v>
      </c>
    </row>
    <row r="66" spans="1:3" x14ac:dyDescent="0.35">
      <c r="A66" s="20">
        <v>1019</v>
      </c>
      <c r="B66" s="21">
        <v>76</v>
      </c>
      <c r="C66" s="27">
        <v>5</v>
      </c>
    </row>
    <row r="67" spans="1:3" x14ac:dyDescent="0.35">
      <c r="A67" s="20">
        <v>1020</v>
      </c>
      <c r="B67" s="21">
        <v>76.666666666666671</v>
      </c>
      <c r="C67" s="27">
        <v>4</v>
      </c>
    </row>
    <row r="68" spans="1:3" x14ac:dyDescent="0.35">
      <c r="A68" s="20" t="s">
        <v>122</v>
      </c>
      <c r="B68" s="21">
        <v>1407.666666666667</v>
      </c>
      <c r="C68" s="27">
        <v>210</v>
      </c>
    </row>
  </sheetData>
  <mergeCells count="7">
    <mergeCell ref="A46:P46"/>
    <mergeCell ref="A1:P1"/>
    <mergeCell ref="A12:P12"/>
    <mergeCell ref="A3:P3"/>
    <mergeCell ref="A21:P21"/>
    <mergeCell ref="A29:P29"/>
    <mergeCell ref="A38:P38"/>
  </mergeCells>
  <pageMargins left="0.7" right="0.7" top="0.75" bottom="0.75" header="0.3" footer="0.3"/>
  <pageSetup orientation="portrait"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"/>
  <sheetViews>
    <sheetView tabSelected="1" workbookViewId="0">
      <selection activeCell="L2" sqref="L2"/>
    </sheetView>
  </sheetViews>
  <sheetFormatPr defaultRowHeight="14.5" x14ac:dyDescent="0.35"/>
  <cols>
    <col min="1" max="1" width="30.7265625" customWidth="1"/>
    <col min="2" max="2" width="21.6328125" customWidth="1"/>
  </cols>
  <sheetData>
    <row r="1" spans="1:21" ht="23.5" x14ac:dyDescent="0.55000000000000004">
      <c r="A1" s="36" t="s">
        <v>158</v>
      </c>
      <c r="B1" s="36"/>
      <c r="D1" s="33" t="s">
        <v>159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ht="15.5" x14ac:dyDescent="0.35">
      <c r="A3" s="39" t="s">
        <v>124</v>
      </c>
      <c r="B3" s="39"/>
    </row>
    <row r="4" spans="1:21" x14ac:dyDescent="0.35">
      <c r="A4" s="35" t="s">
        <v>151</v>
      </c>
      <c r="B4" s="37">
        <f>SUM(Sales!E2:E21)</f>
        <v>507725</v>
      </c>
    </row>
    <row r="5" spans="1:21" x14ac:dyDescent="0.35">
      <c r="A5" s="35" t="s">
        <v>152</v>
      </c>
      <c r="B5" s="38">
        <f>COUNT(Sales!A2:A21)</f>
        <v>20</v>
      </c>
    </row>
    <row r="6" spans="1:21" x14ac:dyDescent="0.35">
      <c r="A6" s="35" t="s">
        <v>153</v>
      </c>
      <c r="B6" s="37">
        <f>AVERAGE(Sales!E2:E21)</f>
        <v>25386.25</v>
      </c>
    </row>
    <row r="7" spans="1:21" x14ac:dyDescent="0.35">
      <c r="A7" s="35" t="s">
        <v>154</v>
      </c>
      <c r="B7" s="37">
        <f>MAX(Sales!E2:E21)</f>
        <v>46429</v>
      </c>
    </row>
    <row r="8" spans="1:21" x14ac:dyDescent="0.35">
      <c r="A8" s="35" t="s">
        <v>155</v>
      </c>
      <c r="B8" s="37">
        <f>SUM(Sales!I2:I21)</f>
        <v>67333.340000000011</v>
      </c>
    </row>
    <row r="9" spans="1:21" x14ac:dyDescent="0.35">
      <c r="A9" s="35" t="s">
        <v>156</v>
      </c>
      <c r="B9" s="37">
        <f>SUM(Sales!J2:J21)</f>
        <v>440391.66</v>
      </c>
    </row>
    <row r="10" spans="1:21" x14ac:dyDescent="0.35">
      <c r="A10" s="35" t="s">
        <v>157</v>
      </c>
      <c r="B10" s="38">
        <f>COUNTIF(Sales!K2:K21,"Yes")</f>
        <v>8</v>
      </c>
    </row>
    <row r="12" spans="1:21" x14ac:dyDescent="0.35">
      <c r="A12" s="34" t="s">
        <v>160</v>
      </c>
      <c r="B12" s="34"/>
    </row>
    <row r="13" spans="1:21" x14ac:dyDescent="0.35">
      <c r="A13" s="35" t="s">
        <v>161</v>
      </c>
      <c r="B13" s="38">
        <f>COUNT(Employee!A2:A21)</f>
        <v>20</v>
      </c>
    </row>
    <row r="14" spans="1:21" x14ac:dyDescent="0.35">
      <c r="A14" s="35" t="s">
        <v>162</v>
      </c>
      <c r="B14" s="37">
        <f>SUM(Employee!D2:D21)</f>
        <v>1586798</v>
      </c>
    </row>
    <row r="15" spans="1:21" x14ac:dyDescent="0.35">
      <c r="A15" s="35" t="s">
        <v>163</v>
      </c>
      <c r="B15" s="37">
        <f>AVERAGE(Employee!D2:D21)</f>
        <v>79339.899999999994</v>
      </c>
    </row>
    <row r="16" spans="1:21" x14ac:dyDescent="0.35">
      <c r="A16" s="35" t="s">
        <v>164</v>
      </c>
      <c r="B16" s="37">
        <f>MAX(Sales!E2:E21)</f>
        <v>46429</v>
      </c>
    </row>
    <row r="17" spans="1:2" x14ac:dyDescent="0.35">
      <c r="A17" s="35" t="s">
        <v>165</v>
      </c>
      <c r="B17" s="38">
        <f>COUNTIF(Employee!J2:J21,"High")</f>
        <v>6</v>
      </c>
    </row>
    <row r="19" spans="1:2" x14ac:dyDescent="0.35">
      <c r="A19" s="40" t="s">
        <v>166</v>
      </c>
      <c r="B19" s="41"/>
    </row>
    <row r="20" spans="1:2" x14ac:dyDescent="0.35">
      <c r="A20" s="35" t="s">
        <v>167</v>
      </c>
      <c r="B20" s="38">
        <f>COUNT(Student!A2:A21)</f>
        <v>20</v>
      </c>
    </row>
    <row r="21" spans="1:2" x14ac:dyDescent="0.35">
      <c r="A21" s="35" t="s">
        <v>168</v>
      </c>
      <c r="B21" s="42">
        <f>AVERAGE(Student!C2:C21)</f>
        <v>80.2</v>
      </c>
    </row>
    <row r="22" spans="1:2" x14ac:dyDescent="0.35">
      <c r="A22" s="35" t="s">
        <v>169</v>
      </c>
      <c r="B22" s="42">
        <f>AVERAGE(Student!D2:D21)</f>
        <v>66.45</v>
      </c>
    </row>
    <row r="23" spans="1:2" x14ac:dyDescent="0.35">
      <c r="A23" s="35" t="s">
        <v>170</v>
      </c>
      <c r="B23" s="42">
        <f>AVERAGE(Student!E2:E21)</f>
        <v>64.5</v>
      </c>
    </row>
    <row r="24" spans="1:2" x14ac:dyDescent="0.35">
      <c r="A24" s="35" t="s">
        <v>171</v>
      </c>
      <c r="B24" s="42">
        <f>MAX(Student!H2:H21)</f>
        <v>95</v>
      </c>
    </row>
  </sheetData>
  <mergeCells count="4">
    <mergeCell ref="A12:B12"/>
    <mergeCell ref="A19:B19"/>
    <mergeCell ref="A3:B3"/>
    <mergeCell ref="D1:U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</vt:lpstr>
      <vt:lpstr>Sales</vt:lpstr>
      <vt:lpstr>Employee</vt:lpstr>
      <vt:lpstr>Pivot-Table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</dc:creator>
  <cp:lastModifiedBy>N</cp:lastModifiedBy>
  <dcterms:created xsi:type="dcterms:W3CDTF">2026-10-22T15:30:30Z</dcterms:created>
  <dcterms:modified xsi:type="dcterms:W3CDTF">2026-10-23T16:44:25Z</dcterms:modified>
</cp:coreProperties>
</file>